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6b5c22f8a6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0795c884bd347b9"/>
    <x:sheet xmlns:r="http://schemas.openxmlformats.org/officeDocument/2006/relationships" name="Daily" sheetId="2" r:id="R6641e23799d54632"/>
    <x:sheet xmlns:r="http://schemas.openxmlformats.org/officeDocument/2006/relationships" name="Settings" sheetId="3" r:id="R7323c97d238645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0.00%"/>
    <x:numFmt numFmtId="202" formatCode="0.0"/>
    <x:numFmt numFmtId="203" formatCode="0"/>
    <x:numFmt numFmtId="204" formatCode="#,##0.0"/>
    <x:numFmt numFmtId="205" formatCode="dd-mmm-yy"/>
    <x:numFmt numFmtId="206" formatCode="#,##0.00"/>
  </x:numFmts>
  <x:fonts count="7">
    <x:font>
      <x:sz val="11"/>
      <x:name val="Carlito"/>
    </x:font>
    <x:font>
      <x:sz val="11"/>
      <x:color rgb="FF182C45"/>
      <x:name val="Arial"/>
    </x:font>
    <x:font>
      <x:b/>
      <x:sz val="17"/>
      <x:color rgb="FF152C4A"/>
      <x:name val="Arial"/>
    </x:font>
    <x:font>
      <x:i/>
      <x:sz val="11"/>
      <x:color rgb="FF52647D"/>
      <x:name val="Arial"/>
    </x:font>
    <x:font>
      <x:b/>
      <x:sz val="11"/>
      <x:color rgb="FFFFFFFF"/>
      <x:name val="Arial"/>
    </x:font>
    <x:font>
      <x:sz val="11"/>
      <x:color rgb="FF52647D"/>
      <x:name val="Arial"/>
    </x:font>
    <x:font>
      <x:b/>
      <x:sz val="12"/>
      <x:color rgb="FF182C4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2C4A"/>
      </x:patternFill>
    </x:fill>
    <x:fill>
      <x:patternFill patternType="solid">
        <x:fgColor rgb="FFEAF0F7"/>
      </x:patternFill>
    </x:fill>
    <x:fill>
      <x:patternFill patternType="solid">
        <x:fgColor rgb="FFFFF0C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3" fontId="2" fillId="3" borderId="0" xfId="0" applyNumberFormat="1" applyFont="1" applyFill="1" applyBorder="1" applyAlignment="1">
      <x:alignment vertical="center"/>
    </x:xf>
    <x:xf numFmtId="204" fontId="2" fillId="3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C5A00"/>
      </x:font>
      <x:fill>
        <x:patternFill patternType="solid">
          <x:bgColor rgb="FFFFF0D8"/>
        </x:patternFill>
      </x:fill>
    </x:dxf>
    <x:dxf>
      <x:font>
        <x:color rgb="FF9C5A00"/>
      </x:font>
      <x:fill>
        <x:patternFill patternType="solid">
          <x:bgColor rgb="FFFFF0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c4690a12634cf3" /><Relationship Type="http://schemas.openxmlformats.org/officeDocument/2006/relationships/theme" Target="/xl/theme/theme1.xml" Id="R08df231064c14fb7" /><Relationship Type="http://schemas.openxmlformats.org/officeDocument/2006/relationships/sharedStrings" Target="/xl/sharedStrings.xml" Id="R62ee4211ffce4c34" /><Relationship Type="http://schemas.openxmlformats.org/officeDocument/2006/relationships/worksheet" Target="/xl/worksheets/sheet1.xml" Id="Rb0795c884bd347b9" /><Relationship Type="http://schemas.openxmlformats.org/officeDocument/2006/relationships/worksheet" Target="/xl/worksheets/sheet2.xml" Id="R6641e23799d54632" /><Relationship Type="http://schemas.openxmlformats.org/officeDocument/2006/relationships/worksheet" Target="/xl/worksheets/sheet3.xml" Id="R7323c97d238645f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206375a64444b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Daily reliability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Success rate</c:v>
          </c:tx>
          <c:spPr>
            <a:ln xmlns:a="http://schemas.openxmlformats.org/drawingml/2006/main" w="19050">
              <a:solidFill>
                <a:srgbClr val="1765AD"/>
              </a:solidFill>
              <a:prstDash val="solid"/>
            </a:ln>
          </c:spPr>
          <c:marker>
            <c:symbol val="none"/>
          </c:marker>
          <c:cat>
            <c:strRef>
              <c:f>'Dashboard'!$A$38:$A$127</c:f>
              <c:strCache>
                <c:ptCount val="0"/>
              </c:strCache>
            </c:strRef>
          </c:cat>
          <c:val>
            <c:numRef>
              <c:f>'Dashboard'!$B$38:$B$127</c:f>
              <c:numCache>
                <c:formatCode>0.00%</c:formatCode>
                <c:ptCount val="0"/>
              </c:numCache>
            </c:numRef>
          </c:val>
          <c:smooth val="0"/>
        </c:ser>
        <c:ser>
          <c:idx val="1"/>
          <c:order val="1"/>
          <c:tx>
            <c:v>Heartbeat delivery</c:v>
          </c:tx>
          <c:spPr>
            <a:ln xmlns:a="http://schemas.openxmlformats.org/drawingml/2006/main" w="19050">
              <a:solidFill>
                <a:srgbClr val="249E79"/>
              </a:solidFill>
              <a:prstDash val="solid"/>
            </a:ln>
          </c:spPr>
          <c:marker>
            <c:symbol val="none"/>
          </c:marker>
          <c:cat>
            <c:strRef>
              <c:f>'Dashboard'!$A$38:$A$127</c:f>
              <c:strCache>
                <c:ptCount val="0"/>
              </c:strCache>
            </c:strRef>
          </c:cat>
          <c:val>
            <c:numRef>
              <c:f>'Dashboard'!$C$38:$C$127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206375a64444b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Operations" displayName="DailyOperations" ref="A5:M95" headerRowCount="1" totalsRowCount="0" totalsRowShown="0">
  <x:tableColumns count="13">
    <x:tableColumn id="1" name="Date"/>
    <x:tableColumn id="2" name="Commands"/>
    <x:tableColumn id="3" name="Successes"/>
    <x:tableColumn id="4" name="Failures"/>
    <x:tableColumn id="5" name="Expected HB"/>
    <x:tableColumn id="6" name="Received HB"/>
    <x:tableColumn id="7" name="Est. kWh"/>
    <x:tableColumn id="8" name="Baseline kWh"/>
    <x:tableColumn id="9" name="Mean ack ms"/>
    <x:tableColumn id="10" name="Success %"/>
    <x:tableColumn id="11" name="Heartbeat %"/>
    <x:tableColumn id="12" name="Difference kWh"/>
    <x:tableColumn id="13" name="Cost diff IN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SmartSwitch">
  <a:themeElements>
    <a:clrScheme name="SmartSwitch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martSwitch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71df9f1af0d45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375fc0c3804042" /></Relationships>
</file>

<file path=xl/worksheets/sheet1.xml><?xml version="1.0" encoding="utf-8"?>
<x:worksheet xmlns:x="http://schemas.openxmlformats.org/spreadsheetml/2006/main">
  <x:sheetPr>
    <x:tabColor rgb="FF152C4A"/>
  </x:sheetPr>
  <x:sheetViews>
    <x:sheetView showGridLines="0" workbookViewId="0"/>
  </x:sheetViews>
  <x:sheetFormatPr defaultRowHeight="15"/>
  <x:cols>
    <x:col min="1" max="1" width="23" hidden="0" customWidth="1"/>
    <x:col min="2" max="2" width="13" hidden="0" customWidth="1"/>
    <x:col min="3" max="3" width="18" hidden="0" customWidth="1"/>
    <x:col min="4" max="4" width="4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3" t="str">
        <x:v>SmartSwitch performance report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4" t="str">
        <x:v>Synthetic home automation data | 01 Jul to 28 Sep 2026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0" customHeight="1">
      <x:c r="A5" s="8" t="str">
        <x:v>Commands</x:v>
      </x:c>
      <x:c r="B5" s="8" t="str">
        <x:v>Success rate</x:v>
      </x:c>
      <x:c r="C5" s="8" t="str">
        <x:v>P95 ack (ms)</x:v>
      </x:c>
      <x:c r="D5" s="8" t="str">
        <x:v>Heartbeat delivery</x:v>
      </x:c>
      <x:c r="E5" s="2"/>
      <x:c r="F5" s="8" t="str">
        <x:v>Devices</x:v>
      </x:c>
      <x:c r="G5" s="8" t="str">
        <x:v>Est. kWh</x:v>
      </x:c>
      <x:c r="H5" s="8" t="str">
        <x:v>Baseline kWh</x:v>
      </x:c>
      <x:c r="I5" s="8" t="str">
        <x:v>Difference kWh</x:v>
      </x:c>
      <x:c r="J5" s="2"/>
      <x:c r="K5" s="2"/>
      <x:c r="L5" s="2"/>
      <x:c r="M5" s="2"/>
      <x:c r="N5" s="2"/>
    </x:row>
    <x:row r="6" ht="38" customHeight="1">
      <x:c r="A6" s="11" t="n">
        <x:f>SUM(Daily!B6:B95)</x:f>
        <x:v>91867</x:v>
      </x:c>
      <x:c r="B6" s="12" t="n">
        <x:f>SUM(Daily!C6:C95)/SUM(Daily!B6:B95)</x:f>
        <x:v>0.9801125540183091</x:v>
      </x:c>
      <x:c r="C6" s="13" t="n">
        <x:f>Settings!B8</x:f>
        <x:v>614.4</x:v>
      </x:c>
      <x:c r="D6" s="12" t="n">
        <x:f>SUM(Daily!F6:F95)/SUM(Daily!E6:E95)</x:f>
        <x:v>0.9921360596707819</x:v>
      </x:c>
      <x:c r="E6" s="2"/>
      <x:c r="F6" s="14" t="n">
        <x:f>Settings!B9</x:f>
        <x:v>60</x:v>
      </x:c>
      <x:c r="G6" s="15" t="n">
        <x:f>SUM(Daily!G6:G95)</x:f>
        <x:v>2070.082883</x:v>
      </x:c>
      <x:c r="H6" s="15" t="n">
        <x:f>SUM(Daily!H6:H95)</x:f>
        <x:v>2281.4999999999964</x:v>
      </x:c>
      <x:c r="I6" s="15" t="n">
        <x:f>SUM(Daily!L6:L95)</x:f>
        <x:v>211.41711699999976</x:v>
      </x:c>
      <x:c r="J6" s="2"/>
      <x:c r="K6" s="2"/>
      <x:c r="L6" s="2"/>
      <x:c r="M6" s="2"/>
      <x:c r="N6" s="2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3" customHeight="1">
      <x:c r="A8" s="16" t="str">
        <x:v>Acknowledgement latency covers successful commands. Heartbeats are a connectivity proxy.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3" customHeight="1">
      <x:c r="A9" s="16" t="str">
        <x:v>Energy is estimated from rated watts and modeled runtime. The baseline is an assumption.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3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3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3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3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3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3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3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30" customHeight="1">
      <x:c r="A28" s="8" t="str">
        <x:v>Metric</x:v>
      </x:c>
      <x:c r="B28" s="8" t="str">
        <x:v>Value</x:v>
      </x:c>
      <x:c r="C28" s="8" t="str">
        <x:v>Unit</x:v>
      </x:c>
      <x:c r="D28" s="8" t="str">
        <x:v>Definition</x:v>
      </x:c>
      <x:c r="E28" s="2"/>
      <x:c r="F28" s="24" t="str">
        <x:v>Important definitions</x:v>
      </x:c>
      <x:c r="G28" s="2"/>
      <x:c r="H28" s="2"/>
      <x:c r="I28" s="2"/>
      <x:c r="J28" s="2"/>
      <x:c r="K28" s="2"/>
      <x:c r="L28" s="2"/>
      <x:c r="M28" s="2"/>
      <x:c r="N28" s="2"/>
    </x:row>
    <x:row r="29" ht="23" customHeight="1">
      <x:c r="A29" s="2" t="str">
        <x:v>Mean ack</x:v>
      </x:c>
      <x:c r="B29" s="26" t="n">
        <x:f>SUMPRODUCT(Daily!I6:I95,Daily!C6:C95)/SUM(Daily!C6:C95)</x:f>
        <x:v>328.0404187027989</x:v>
      </x:c>
      <x:c r="C29" s="2" t="str">
        <x:v>ms</x:v>
      </x:c>
      <x:c r="D29" s="2" t="str">
        <x:v>Weighted by successful commands</x:v>
      </x:c>
      <x:c r="E29" s="2"/>
      <x:c r="F29" s="2" t="str">
        <x:v>P95 is calculated across all successful commands.</x:v>
      </x:c>
      <x:c r="G29" s="2"/>
      <x:c r="H29" s="2"/>
      <x:c r="I29" s="2"/>
      <x:c r="J29" s="2"/>
      <x:c r="K29" s="2"/>
      <x:c r="L29" s="2"/>
      <x:c r="M29" s="2"/>
      <x:c r="N29" s="2"/>
    </x:row>
    <x:row r="30" ht="23" customHeight="1">
      <x:c r="A30" s="2" t="str">
        <x:v>Modeled cost diff</x:v>
      </x:c>
      <x:c r="B30" s="26" t="n">
        <x:f>SUM(Daily!M6:M95)</x:f>
        <x:v>1691.336935999998</x:v>
      </x:c>
      <x:c r="C30" s="2" t="str">
        <x:v>INR</x:v>
      </x:c>
      <x:c r="D30" s="2" t="str">
        <x:v>Flat tariff assumption; not bill savings</x:v>
      </x:c>
      <x:c r="E30" s="2"/>
      <x:c r="F30" s="2" t="str">
        <x:v>Command success means an acknowledgement was received.</x:v>
      </x:c>
      <x:c r="G30" s="2"/>
      <x:c r="H30" s="2"/>
      <x:c r="I30" s="2"/>
      <x:c r="J30" s="2"/>
      <x:c r="K30" s="2"/>
      <x:c r="L30" s="2"/>
      <x:c r="M30" s="2"/>
      <x:c r="N30" s="2"/>
    </x:row>
    <x:row r="31" ht="23" customHeight="1">
      <x:c r="A31" s="2" t="str">
        <x:v>Flagged device-days</x:v>
      </x:c>
      <x:c r="B31" s="2" t="n">
        <x:v>935</x:v>
      </x:c>
      <x:c r="C31" s="2" t="str">
        <x:v>device-days</x:v>
      </x:c>
      <x:c r="D31" s="2" t="str">
        <x:v>Snapshot; refresh pipeline for details</x:v>
      </x:c>
      <x:c r="E31" s="2"/>
      <x:c r="F31" s="2" t="str">
        <x:v>Heartbeat delivery does not establish exact uptime.</x:v>
      </x:c>
      <x:c r="G31" s="2"/>
      <x:c r="H31" s="2"/>
      <x:c r="I31" s="2"/>
      <x:c r="J31" s="2"/>
      <x:c r="K31" s="2"/>
      <x:c r="L31" s="2"/>
      <x:c r="M31" s="2"/>
      <x:c r="N31" s="2"/>
    </x:row>
    <x:row r="32" ht="23" customHeight="1">
      <x:c r="A32" s="2" t="str">
        <x:v>Refresh status</x:v>
      </x:c>
      <x:c r="B32" s="2" t="str">
        <x:f>IF(ISNUMBER(Settings!B12),TEXT(Settings!B12,"dd-mmm hh:mm"),"Pending")</x:f>
        <x:v>Pending</x:v>
      </x:c>
      <x:c r="C32" s="2" t="str">
        <x:v>status</x:v>
      </x:c>
      <x:c r="D32" s="2" t="str">
        <x:v>VBA refresh timestamp appears here</x:v>
      </x:c>
      <x:c r="E32" s="2"/>
      <x:c r="F32" s="2" t="str">
        <x:v>The baseline uses assumed daily operating hours.</x:v>
      </x:c>
      <x:c r="G32" s="2"/>
      <x:c r="H32" s="2"/>
      <x:c r="I32" s="2"/>
      <x:c r="J32" s="2"/>
      <x:c r="K32" s="2"/>
      <x:c r="L32" s="2"/>
      <x:c r="M32" s="2"/>
      <x:c r="N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3" customHeight="1">
      <x:c r="A37" s="2" t="str">
        <x:v>Date</x:v>
      </x:c>
      <x:c r="B37" s="2" t="str">
        <x:v>Success rate</x:v>
      </x:c>
      <x:c r="C37" s="2" t="str">
        <x:v>Heartbeat delivery</x:v>
      </x:c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3" customHeight="1">
      <x:c r="A38" s="2" t="str">
        <x:f>TEXT(Daily!A6,"dd-mmm")</x:f>
        <x:v>01-Jul</x:v>
      </x:c>
      <x:c r="B38" s="20" t="n">
        <x:f>Daily!J6</x:f>
        <x:v>0.9892682926829268</x:v>
      </x:c>
      <x:c r="C38" s="20" t="n">
        <x:f>Daily!K6</x:f>
        <x:v>0.9923032407407407</x:v>
      </x:c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3" customHeight="1">
      <x:c r="A39" s="2" t="str">
        <x:f>TEXT(Daily!A7,"dd-mmm")</x:f>
        <x:v>02-Jul</x:v>
      </x:c>
      <x:c r="B39" s="20" t="n">
        <x:f>Daily!J7</x:f>
        <x:v>0.9779559118236473</x:v>
      </x:c>
      <x:c r="C39" s="20" t="n">
        <x:f>Daily!K7</x:f>
        <x:v>0.9930555555555556</x:v>
      </x:c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3" customHeight="1">
      <x:c r="A40" s="2" t="str">
        <x:f>TEXT(Daily!A8,"dd-mmm")</x:f>
        <x:v>03-Jul</x:v>
      </x:c>
      <x:c r="B40" s="20" t="n">
        <x:f>Daily!J8</x:f>
        <x:v>0.987192118226601</x:v>
      </x:c>
      <x:c r="C40" s="20" t="n">
        <x:f>Daily!K8</x:f>
        <x:v>0.9923032407407407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3" customHeight="1">
      <x:c r="A41" s="2" t="str">
        <x:f>TEXT(Daily!A9,"dd-mmm")</x:f>
        <x:v>04-Jul</x:v>
      </x:c>
      <x:c r="B41" s="20" t="n">
        <x:f>Daily!J9</x:f>
        <x:v>0.9831013916500994</x:v>
      </x:c>
      <x:c r="C41" s="20" t="n">
        <x:f>Daily!K9</x:f>
        <x:v>0.9923611111111111</x:v>
      </x:c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3" customHeight="1">
      <x:c r="A42" s="2" t="str">
        <x:f>TEXT(Daily!A10,"dd-mmm")</x:f>
        <x:v>05-Jul</x:v>
      </x:c>
      <x:c r="B42" s="20" t="n">
        <x:f>Daily!J10</x:f>
        <x:v>0.9796905222437138</x:v>
      </x:c>
      <x:c r="C42" s="20" t="n">
        <x:f>Daily!K10</x:f>
        <x:v>0.9918402777777777</x:v>
      </x:c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3" customHeight="1">
      <x:c r="A43" s="2" t="str">
        <x:f>TEXT(Daily!A11,"dd-mmm")</x:f>
        <x:v>06-Jul</x:v>
      </x:c>
      <x:c r="B43" s="20" t="n">
        <x:f>Daily!J11</x:f>
        <x:v>0.9865642994241842</x:v>
      </x:c>
      <x:c r="C43" s="20" t="n">
        <x:f>Daily!K11</x:f>
        <x:v>0.9920717592592593</x:v>
      </x:c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3" customHeight="1">
      <x:c r="A44" s="2" t="str">
        <x:f>TEXT(Daily!A12,"dd-mmm")</x:f>
        <x:v>07-Jul</x:v>
      </x:c>
      <x:c r="B44" s="20" t="n">
        <x:f>Daily!J12</x:f>
        <x:v>0.9856733524355301</x:v>
      </x:c>
      <x:c r="C44" s="20" t="n">
        <x:f>Daily!K12</x:f>
        <x:v>0.9933449074074074</x:v>
      </x:c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3" customHeight="1">
      <x:c r="A45" s="2" t="str">
        <x:f>TEXT(Daily!A13,"dd-mmm")</x:f>
        <x:v>08-Jul</x:v>
      </x:c>
      <x:c r="B45" s="20" t="n">
        <x:f>Daily!J13</x:f>
        <x:v>0.9844206426484907</x:v>
      </x:c>
      <x:c r="C45" s="20" t="n">
        <x:f>Daily!K13</x:f>
        <x:v>0.9931712962962963</x:v>
      </x:c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3" customHeight="1">
      <x:c r="A46" s="2" t="str">
        <x:f>TEXT(Daily!A14,"dd-mmm")</x:f>
        <x:v>09-Jul</x:v>
      </x:c>
      <x:c r="B46" s="20" t="n">
        <x:f>Daily!J14</x:f>
        <x:v>0.9848024316109423</x:v>
      </x:c>
      <x:c r="C46" s="20" t="n">
        <x:f>Daily!K14</x:f>
        <x:v>0.9925347222222223</x:v>
      </x:c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3" customHeight="1">
      <x:c r="A47" s="2" t="str">
        <x:f>TEXT(Daily!A15,"dd-mmm")</x:f>
        <x:v>10-Jul</x:v>
      </x:c>
      <x:c r="B47" s="20" t="n">
        <x:f>Daily!J15</x:f>
        <x:v>0.9765625</x:v>
      </x:c>
      <x:c r="C47" s="20" t="n">
        <x:f>Daily!K15</x:f>
        <x:v>0.9914930555555556</x:v>
      </x:c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3" customHeight="1">
      <x:c r="A48" s="2" t="str">
        <x:f>TEXT(Daily!A16,"dd-mmm")</x:f>
        <x:v>11-Jul</x:v>
      </x:c>
      <x:c r="B48" s="20" t="n">
        <x:f>Daily!J16</x:f>
        <x:v>0.9745098039215686</x:v>
      </x:c>
      <x:c r="C48" s="20" t="n">
        <x:f>Daily!K16</x:f>
        <x:v>0.9919560185185186</x:v>
      </x:c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3" customHeight="1">
      <x:c r="A49" s="2" t="str">
        <x:f>TEXT(Daily!A17,"dd-mmm")</x:f>
        <x:v>12-Jul</x:v>
      </x:c>
      <x:c r="B49" s="20" t="n">
        <x:f>Daily!J17</x:f>
        <x:v>0.9892996108949417</x:v>
      </x:c>
      <x:c r="C49" s="20" t="n">
        <x:f>Daily!K17</x:f>
        <x:v>0.9919560185185186</x:v>
      </x:c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3" customHeight="1">
      <x:c r="A50" s="2" t="str">
        <x:f>TEXT(Daily!A18,"dd-mmm")</x:f>
        <x:v>13-Jul</x:v>
      </x:c>
      <x:c r="B50" s="20" t="n">
        <x:f>Daily!J18</x:f>
        <x:v>0.9821428571428571</x:v>
      </x:c>
      <x:c r="C50" s="20" t="n">
        <x:f>Daily!K18</x:f>
        <x:v>0.9924768518518519</x:v>
      </x:c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3" customHeight="1">
      <x:c r="A51" s="2" t="str">
        <x:f>TEXT(Daily!A19,"dd-mmm")</x:f>
        <x:v>14-Jul</x:v>
      </x:c>
      <x:c r="B51" s="20" t="n">
        <x:f>Daily!J19</x:f>
        <x:v>0.980544747081712</x:v>
      </x:c>
      <x:c r="C51" s="20" t="n">
        <x:f>Daily!K19</x:f>
        <x:v>0.992824074074074</x:v>
      </x:c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3" customHeight="1">
      <x:c r="A52" s="2" t="str">
        <x:f>TEXT(Daily!A20,"dd-mmm")</x:f>
        <x:v>15-Jul</x:v>
      </x:c>
      <x:c r="B52" s="20" t="n">
        <x:f>Daily!J20</x:f>
        <x:v>0.9835589941972921</x:v>
      </x:c>
      <x:c r="C52" s="20" t="n">
        <x:f>Daily!K20</x:f>
        <x:v>0.9932291666666667</x:v>
      </x:c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3" customHeight="1">
      <x:c r="A53" s="2" t="str">
        <x:f>TEXT(Daily!A21,"dd-mmm")</x:f>
        <x:v>16-Jul</x:v>
      </x:c>
      <x:c r="B53" s="20" t="n">
        <x:f>Daily!J21</x:f>
        <x:v>0.9881539980256664</x:v>
      </x:c>
      <x:c r="C53" s="20" t="n">
        <x:f>Daily!K21</x:f>
        <x:v>0.9936342592592593</x:v>
      </x:c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3" customHeight="1">
      <x:c r="A54" s="2" t="str">
        <x:f>TEXT(Daily!A22,"dd-mmm")</x:f>
        <x:v>17-Jul</x:v>
      </x:c>
      <x:c r="B54" s="20" t="n">
        <x:f>Daily!J22</x:f>
        <x:v>0.9908069458631257</x:v>
      </x:c>
      <x:c r="C54" s="20" t="n">
        <x:f>Daily!K22</x:f>
        <x:v>0.9933449074074074</x:v>
      </x:c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3" customHeight="1">
      <x:c r="A55" s="2" t="str">
        <x:f>TEXT(Daily!A23,"dd-mmm")</x:f>
        <x:v>18-Jul</x:v>
      </x:c>
      <x:c r="B55" s="20" t="n">
        <x:f>Daily!J23</x:f>
        <x:v>0.9853372434017595</x:v>
      </x:c>
      <x:c r="C55" s="20" t="n">
        <x:f>Daily!K23</x:f>
        <x:v>0.9921296296296296</x:v>
      </x:c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3" customHeight="1">
      <x:c r="A56" s="2" t="str">
        <x:f>TEXT(Daily!A24,"dd-mmm")</x:f>
        <x:v>19-Jul</x:v>
      </x:c>
      <x:c r="B56" s="20" t="n">
        <x:f>Daily!J24</x:f>
        <x:v>0.9862745098039216</x:v>
      </x:c>
      <x:c r="C56" s="20" t="n">
        <x:f>Daily!K24</x:f>
        <x:v>0.9918402777777777</x:v>
      </x:c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3" customHeight="1">
      <x:c r="A57" s="2" t="str">
        <x:f>TEXT(Daily!A25,"dd-mmm")</x:f>
        <x:v>20-Jul</x:v>
      </x:c>
      <x:c r="B57" s="20" t="n">
        <x:f>Daily!J25</x:f>
        <x:v>0.9865384615384616</x:v>
      </x:c>
      <x:c r="C57" s="20" t="n">
        <x:f>Daily!K25</x:f>
        <x:v>0.9929398148148149</x:v>
      </x:c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3" customHeight="1">
      <x:c r="A58" s="2" t="str">
        <x:f>TEXT(Daily!A26,"dd-mmm")</x:f>
        <x:v>21-Jul</x:v>
      </x:c>
      <x:c r="B58" s="20" t="n">
        <x:f>Daily!J26</x:f>
        <x:v>0.9876190476190476</x:v>
      </x:c>
      <x:c r="C58" s="20" t="n">
        <x:f>Daily!K26</x:f>
        <x:v>0.9920717592592593</x:v>
      </x:c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3" customHeight="1">
      <x:c r="A59" s="2" t="str">
        <x:f>TEXT(Daily!A27,"dd-mmm")</x:f>
        <x:v>22-Jul</x:v>
      </x:c>
      <x:c r="B59" s="20" t="n">
        <x:f>Daily!J27</x:f>
        <x:v>0.9792079207920792</x:v>
      </x:c>
      <x:c r="C59" s="20" t="n">
        <x:f>Daily!K27</x:f>
        <x:v>0.9931134259259259</x:v>
      </x:c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3" customHeight="1">
      <x:c r="A60" s="2" t="str">
        <x:f>TEXT(Daily!A28,"dd-mmm")</x:f>
        <x:v>23-Jul</x:v>
      </x:c>
      <x:c r="B60" s="20" t="n">
        <x:f>Daily!J28</x:f>
        <x:v>0.9875130072840791</x:v>
      </x:c>
      <x:c r="C60" s="20" t="n">
        <x:f>Daily!K28</x:f>
        <x:v>0.992824074074074</x:v>
      </x:c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3" customHeight="1">
      <x:c r="A61" s="2" t="str">
        <x:f>TEXT(Daily!A29,"dd-mmm")</x:f>
        <x:v>24-Jul</x:v>
      </x:c>
      <x:c r="B61" s="20" t="n">
        <x:f>Daily!J29</x:f>
        <x:v>0.9874274661508704</x:v>
      </x:c>
      <x:c r="C61" s="20" t="n">
        <x:f>Daily!K29</x:f>
        <x:v>0.992824074074074</x:v>
      </x:c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3" customHeight="1">
      <x:c r="A62" s="2" t="str">
        <x:f>TEXT(Daily!A30,"dd-mmm")</x:f>
        <x:v>25-Jul</x:v>
      </x:c>
      <x:c r="B62" s="20" t="n">
        <x:f>Daily!J30</x:f>
        <x:v>0.9854368932038835</x:v>
      </x:c>
      <x:c r="C62" s="20" t="n">
        <x:f>Daily!K30</x:f>
        <x:v>0.9925925925925926</x:v>
      </x:c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3" customHeight="1">
      <x:c r="A63" s="2" t="str">
        <x:f>TEXT(Daily!A31,"dd-mmm")</x:f>
        <x:v>26-Jul</x:v>
      </x:c>
      <x:c r="B63" s="20" t="n">
        <x:f>Daily!J31</x:f>
        <x:v>0.9846449136276392</x:v>
      </x:c>
      <x:c r="C63" s="20" t="n">
        <x:f>Daily!K31</x:f>
        <x:v>0.992824074074074</x:v>
      </x:c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3" customHeight="1">
      <x:c r="A64" s="2" t="str">
        <x:f>TEXT(Daily!A32,"dd-mmm")</x:f>
        <x:v>27-Jul</x:v>
      </x:c>
      <x:c r="B64" s="20" t="n">
        <x:f>Daily!J32</x:f>
        <x:v>0.9823008849557522</x:v>
      </x:c>
      <x:c r="C64" s="20" t="n">
        <x:f>Daily!K32</x:f>
        <x:v>0.9919560185185186</x:v>
      </x:c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3" customHeight="1">
      <x:c r="A65" s="2" t="str">
        <x:f>TEXT(Daily!A33,"dd-mmm")</x:f>
        <x:v>28-Jul</x:v>
      </x:c>
      <x:c r="B65" s="20" t="n">
        <x:f>Daily!J33</x:f>
        <x:v>0.9855769230769231</x:v>
      </x:c>
      <x:c r="C65" s="20" t="n">
        <x:f>Daily!K33</x:f>
        <x:v>0.992824074074074</x:v>
      </x:c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3" customHeight="1">
      <x:c r="A66" s="2" t="str">
        <x:f>TEXT(Daily!A34,"dd-mmm")</x:f>
        <x:v>29-Jul</x:v>
      </x:c>
      <x:c r="B66" s="20" t="n">
        <x:f>Daily!J34</x:f>
        <x:v>0.9871541501976284</x:v>
      </x:c>
      <x:c r="C66" s="20" t="n">
        <x:f>Daily!K34</x:f>
        <x:v>0.9918402777777777</x:v>
      </x:c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3" customHeight="1">
      <x:c r="A67" s="2" t="str">
        <x:f>TEXT(Daily!A35,"dd-mmm")</x:f>
        <x:v>30-Jul</x:v>
      </x:c>
      <x:c r="B67" s="20" t="n">
        <x:f>Daily!J35</x:f>
        <x:v>0.9839195979899498</x:v>
      </x:c>
      <x:c r="C67" s="20" t="n">
        <x:f>Daily!K35</x:f>
        <x:v>0.9929976851851852</x:v>
      </x:c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3" customHeight="1">
      <x:c r="A68" s="2" t="str">
        <x:f>TEXT(Daily!A36,"dd-mmm")</x:f>
        <x:v>31-Jul</x:v>
      </x:c>
      <x:c r="B68" s="20" t="n">
        <x:f>Daily!J36</x:f>
        <x:v>0.9864077669902913</x:v>
      </x:c>
      <x:c r="C68" s="20" t="n">
        <x:f>Daily!K36</x:f>
        <x:v>0.9933449074074074</x:v>
      </x:c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3" customHeight="1">
      <x:c r="A69" s="2" t="str">
        <x:f>TEXT(Daily!A37,"dd-mmm")</x:f>
        <x:v>01-Aug</x:v>
      </x:c>
      <x:c r="B69" s="20" t="n">
        <x:f>Daily!J37</x:f>
        <x:v>0.966839378238342</x:v>
      </x:c>
      <x:c r="C69" s="20" t="n">
        <x:f>Daily!K37</x:f>
        <x:v>0.9759837962962963</x:v>
      </x:c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3" customHeight="1">
      <x:c r="A70" s="2" t="str">
        <x:f>TEXT(Daily!A38,"dd-mmm")</x:f>
        <x:v>02-Aug</x:v>
      </x:c>
      <x:c r="B70" s="20" t="n">
        <x:f>Daily!J38</x:f>
        <x:v>0.9884836852207294</x:v>
      </x:c>
      <x:c r="C70" s="20" t="n">
        <x:f>Daily!K38</x:f>
        <x:v>0.9920717592592593</x:v>
      </x:c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3" customHeight="1">
      <x:c r="A71" s="2" t="str">
        <x:f>TEXT(Daily!A39,"dd-mmm")</x:f>
        <x:v>03-Aug</x:v>
      </x:c>
      <x:c r="B71" s="20" t="n">
        <x:f>Daily!J39</x:f>
        <x:v>0.9856870229007634</x:v>
      </x:c>
      <x:c r="C71" s="20" t="n">
        <x:f>Daily!K39</x:f>
        <x:v>0.9916087962962963</x:v>
      </x:c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3" customHeight="1">
      <x:c r="A72" s="2" t="str">
        <x:f>TEXT(Daily!A40,"dd-mmm")</x:f>
        <x:v>04-Aug</x:v>
      </x:c>
      <x:c r="B72" s="20" t="n">
        <x:f>Daily!J40</x:f>
        <x:v>0.9860853432282004</x:v>
      </x:c>
      <x:c r="C72" s="20" t="n">
        <x:f>Daily!K40</x:f>
        <x:v>0.9923611111111111</x:v>
      </x:c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3" customHeight="1">
      <x:c r="A73" s="2" t="str">
        <x:f>TEXT(Daily!A41,"dd-mmm")</x:f>
        <x:v>05-Aug</x:v>
      </x:c>
      <x:c r="B73" s="20" t="n">
        <x:f>Daily!J41</x:f>
        <x:v>0.9900199600798403</x:v>
      </x:c>
      <x:c r="C73" s="20" t="n">
        <x:f>Daily!K41</x:f>
        <x:v>0.9925925925925926</x:v>
      </x:c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3" customHeight="1">
      <x:c r="A74" s="2" t="str">
        <x:f>TEXT(Daily!A42,"dd-mmm")</x:f>
        <x:v>06-Aug</x:v>
      </x:c>
      <x:c r="B74" s="20" t="n">
        <x:f>Daily!J42</x:f>
        <x:v>0.9820415879017014</x:v>
      </x:c>
      <x:c r="C74" s="20" t="n">
        <x:f>Daily!K42</x:f>
        <x:v>0.9921875</x:v>
      </x:c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3" customHeight="1">
      <x:c r="A75" s="2" t="str">
        <x:f>TEXT(Daily!A43,"dd-mmm")</x:f>
        <x:v>07-Aug</x:v>
      </x:c>
      <x:c r="B75" s="20" t="n">
        <x:f>Daily!J43</x:f>
        <x:v>0.9619883040935673</x:v>
      </x:c>
      <x:c r="C75" s="20" t="n">
        <x:f>Daily!K43</x:f>
        <x:v>0.9924768518518519</x:v>
      </x:c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3" customHeight="1">
      <x:c r="A76" s="2" t="str">
        <x:f>TEXT(Daily!A44,"dd-mmm")</x:f>
        <x:v>08-Aug</x:v>
      </x:c>
      <x:c r="B76" s="20" t="n">
        <x:f>Daily!J44</x:f>
        <x:v>0.9663366336633663</x:v>
      </x:c>
      <x:c r="C76" s="20" t="n">
        <x:f>Daily!K44</x:f>
        <x:v>0.9932291666666667</x:v>
      </x:c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3" customHeight="1">
      <x:c r="A77" s="2" t="str">
        <x:f>TEXT(Daily!A45,"dd-mmm")</x:f>
        <x:v>09-Aug</x:v>
      </x:c>
      <x:c r="B77" s="20" t="n">
        <x:f>Daily!J45</x:f>
        <x:v>0.965183752417795</x:v>
      </x:c>
      <x:c r="C77" s="20" t="n">
        <x:f>Daily!K45</x:f>
        <x:v>0.9931134259259259</x:v>
      </x:c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3" customHeight="1">
      <x:c r="A78" s="2" t="str">
        <x:f>TEXT(Daily!A46,"dd-mmm")</x:f>
        <x:v>10-Aug</x:v>
      </x:c>
      <x:c r="B78" s="20" t="n">
        <x:f>Daily!J46</x:f>
        <x:v>0.963531669865643</x:v>
      </x:c>
      <x:c r="C78" s="20" t="n">
        <x:f>Daily!K46</x:f>
        <x:v>0.9934027777777777</x:v>
      </x:c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3" customHeight="1">
      <x:c r="A79" s="2" t="str">
        <x:f>TEXT(Daily!A47,"dd-mmm")</x:f>
        <x:v>11-Aug</x:v>
      </x:c>
      <x:c r="B79" s="20" t="n">
        <x:f>Daily!J47</x:f>
        <x:v>0.958291956305859</x:v>
      </x:c>
      <x:c r="C79" s="20" t="n">
        <x:f>Daily!K47</x:f>
        <x:v>0.9933449074074074</x:v>
      </x:c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3" customHeight="1">
      <x:c r="A80" s="2" t="str">
        <x:f>TEXT(Daily!A48,"dd-mmm")</x:f>
        <x:v>12-Aug</x:v>
      </x:c>
      <x:c r="B80" s="20" t="n">
        <x:f>Daily!J48</x:f>
        <x:v>0.9523316062176166</x:v>
      </x:c>
      <x:c r="C80" s="20" t="n">
        <x:f>Daily!K48</x:f>
        <x:v>0.9921296296296296</x:v>
      </x:c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3" customHeight="1">
      <x:c r="A81" s="2" t="str">
        <x:f>TEXT(Daily!A49,"dd-mmm")</x:f>
        <x:v>13-Aug</x:v>
      </x:c>
      <x:c r="B81" s="20" t="n">
        <x:f>Daily!J49</x:f>
        <x:v>0.9658536585365853</x:v>
      </x:c>
      <x:c r="C81" s="20" t="n">
        <x:f>Daily!K49</x:f>
        <x:v>0.9938657407407407</x:v>
      </x:c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3" customHeight="1">
      <x:c r="A82" s="2" t="str">
        <x:f>TEXT(Daily!A50,"dd-mmm")</x:f>
        <x:v>14-Aug</x:v>
      </x:c>
      <x:c r="B82" s="20" t="n">
        <x:f>Daily!J50</x:f>
        <x:v>0.9683168316831683</x:v>
      </x:c>
      <x:c r="C82" s="20" t="n">
        <x:f>Daily!K50</x:f>
        <x:v>0.9932291666666667</x:v>
      </x:c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3" customHeight="1">
      <x:c r="A83" s="2" t="str">
        <x:f>TEXT(Daily!A51,"dd-mmm")</x:f>
        <x:v>15-Aug</x:v>
      </x:c>
      <x:c r="B83" s="20" t="n">
        <x:f>Daily!J51</x:f>
        <x:v>0.9714557564224549</x:v>
      </x:c>
      <x:c r="C83" s="20" t="n">
        <x:f>Daily!K51</x:f>
        <x:v>0.9933449074074074</x:v>
      </x:c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3" customHeight="1">
      <x:c r="A84" s="2" t="str">
        <x:f>TEXT(Daily!A52,"dd-mmm")</x:f>
        <x:v>16-Aug</x:v>
      </x:c>
      <x:c r="B84" s="20" t="n">
        <x:f>Daily!J52</x:f>
        <x:v>0.9650613786591123</x:v>
      </x:c>
      <x:c r="C84" s="20" t="n">
        <x:f>Daily!K52</x:f>
        <x:v>0.9923611111111111</x:v>
      </x:c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3" customHeight="1">
      <x:c r="A85" s="2" t="str">
        <x:f>TEXT(Daily!A53,"dd-mmm")</x:f>
        <x:v>17-Aug</x:v>
      </x:c>
      <x:c r="B85" s="20" t="n">
        <x:f>Daily!J53</x:f>
        <x:v>0.9593023255813954</x:v>
      </x:c>
      <x:c r="C85" s="20" t="n">
        <x:f>Daily!K53</x:f>
        <x:v>0.9927083333333333</x:v>
      </x:c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3" customHeight="1">
      <x:c r="A86" s="2" t="str">
        <x:f>TEXT(Daily!A54,"dd-mmm")</x:f>
        <x:v>18-Aug</x:v>
      </x:c>
      <x:c r="B86" s="20" t="n">
        <x:f>Daily!J54</x:f>
        <x:v>0.9653846153846154</x:v>
      </x:c>
      <x:c r="C86" s="20" t="n">
        <x:f>Daily!K54</x:f>
        <x:v>0.9933449074074074</x:v>
      </x:c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3" customHeight="1">
      <x:c r="A87" s="2" t="str">
        <x:f>TEXT(Daily!A55,"dd-mmm")</x:f>
        <x:v>19-Aug</x:v>
      </x:c>
      <x:c r="B87" s="20" t="n">
        <x:f>Daily!J55</x:f>
        <x:v>0.9490695396669931</x:v>
      </x:c>
      <x:c r="C87" s="20" t="n">
        <x:f>Daily!K55</x:f>
        <x:v>0.9929398148148149</x:v>
      </x:c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3" customHeight="1">
      <x:c r="A88" s="2" t="str">
        <x:f>TEXT(Daily!A56,"dd-mmm")</x:f>
        <x:v>20-Aug</x:v>
      </x:c>
      <x:c r="B88" s="20" t="n">
        <x:f>Daily!J56</x:f>
        <x:v>0.9598796389167502</x:v>
      </x:c>
      <x:c r="C88" s="20" t="n">
        <x:f>Daily!K56</x:f>
        <x:v>0.9931134259259259</x:v>
      </x:c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3" customHeight="1">
      <x:c r="A89" s="2" t="str">
        <x:f>TEXT(Daily!A57,"dd-mmm")</x:f>
        <x:v>21-Aug</x:v>
      </x:c>
      <x:c r="B89" s="20" t="n">
        <x:f>Daily!J57</x:f>
        <x:v>0.9821930646672915</x:v>
      </x:c>
      <x:c r="C89" s="20" t="n">
        <x:f>Daily!K57</x:f>
        <x:v>0.993287037037037</x:v>
      </x:c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3" customHeight="1">
      <x:c r="A90" s="2" t="str">
        <x:f>TEXT(Daily!A58,"dd-mmm")</x:f>
        <x:v>22-Aug</x:v>
      </x:c>
      <x:c r="B90" s="20" t="n">
        <x:f>Daily!J58</x:f>
        <x:v>0.9826923076923076</x:v>
      </x:c>
      <x:c r="C90" s="20" t="n">
        <x:f>Daily!K58</x:f>
        <x:v>0.992650462962963</x:v>
      </x:c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3" customHeight="1">
      <x:c r="A91" s="2" t="str">
        <x:f>TEXT(Daily!A59,"dd-mmm")</x:f>
        <x:v>23-Aug</x:v>
      </x:c>
      <x:c r="B91" s="20" t="n">
        <x:f>Daily!J59</x:f>
        <x:v>0.984984984984985</x:v>
      </x:c>
      <x:c r="C91" s="20" t="n">
        <x:f>Daily!K59</x:f>
        <x:v>0.9919560185185186</x:v>
      </x:c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3" customHeight="1">
      <x:c r="A92" s="2" t="str">
        <x:f>TEXT(Daily!A60,"dd-mmm")</x:f>
        <x:v>24-Aug</x:v>
      </x:c>
      <x:c r="B92" s="20" t="n">
        <x:f>Daily!J60</x:f>
        <x:v>0.978219696969697</x:v>
      </x:c>
      <x:c r="C92" s="20" t="n">
        <x:f>Daily!K60</x:f>
        <x:v>0.9920138888888889</x:v>
      </x:c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3" customHeight="1">
      <x:c r="A93" s="2" t="str">
        <x:f>TEXT(Daily!A61,"dd-mmm")</x:f>
        <x:v>25-Aug</x:v>
      </x:c>
      <x:c r="B93" s="20" t="n">
        <x:f>Daily!J61</x:f>
        <x:v>0.9795348837209302</x:v>
      </x:c>
      <x:c r="C93" s="20" t="n">
        <x:f>Daily!K61</x:f>
        <x:v>0.9921875</x:v>
      </x:c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3" customHeight="1">
      <x:c r="A94" s="2" t="str">
        <x:f>TEXT(Daily!A62,"dd-mmm")</x:f>
        <x:v>26-Aug</x:v>
      </x:c>
      <x:c r="B94" s="20" t="n">
        <x:f>Daily!J62</x:f>
        <x:v>0.9867751780264497</x:v>
      </x:c>
      <x:c r="C94" s="20" t="n">
        <x:f>Daily!K62</x:f>
        <x:v>0.9921296296296296</x:v>
      </x:c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3" customHeight="1">
      <x:c r="A95" s="2" t="str">
        <x:f>TEXT(Daily!A63,"dd-mmm")</x:f>
        <x:v>27-Aug</x:v>
      </x:c>
      <x:c r="B95" s="20" t="n">
        <x:f>Daily!J63</x:f>
        <x:v>0.985207100591716</x:v>
      </x:c>
      <x:c r="C95" s="20" t="n">
        <x:f>Daily!K63</x:f>
        <x:v>0.9930555555555556</x:v>
      </x:c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3" customHeight="1">
      <x:c r="A96" s="2" t="str">
        <x:f>TEXT(Daily!A64,"dd-mmm")</x:f>
        <x:v>28-Aug</x:v>
      </x:c>
      <x:c r="B96" s="20" t="n">
        <x:f>Daily!J64</x:f>
        <x:v>0.9892682926829268</x:v>
      </x:c>
      <x:c r="C96" s="20" t="n">
        <x:f>Daily!K64</x:f>
        <x:v>0.9925925925925926</x:v>
      </x:c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3" customHeight="1">
      <x:c r="A97" s="2" t="str">
        <x:f>TEXT(Daily!A65,"dd-mmm")</x:f>
        <x:v>29-Aug</x:v>
      </x:c>
      <x:c r="B97" s="20" t="n">
        <x:f>Daily!J65</x:f>
        <x:v>0.9851190476190477</x:v>
      </x:c>
      <x:c r="C97" s="20" t="n">
        <x:f>Daily!K65</x:f>
        <x:v>0.9923611111111111</x:v>
      </x:c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3" customHeight="1">
      <x:c r="A98" s="2" t="str">
        <x:f>TEXT(Daily!A66,"dd-mmm")</x:f>
        <x:v>30-Aug</x:v>
      </x:c>
      <x:c r="B98" s="20" t="n">
        <x:f>Daily!J66</x:f>
        <x:v>0.9861248761149654</x:v>
      </x:c>
      <x:c r="C98" s="20" t="n">
        <x:f>Daily!K66</x:f>
        <x:v>0.9922453703703704</x:v>
      </x:c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3" customHeight="1">
      <x:c r="A99" s="2" t="str">
        <x:f>TEXT(Daily!A67,"dd-mmm")</x:f>
        <x:v>31-Aug</x:v>
      </x:c>
      <x:c r="B99" s="20" t="n">
        <x:f>Daily!J67</x:f>
        <x:v>0.9879759519038076</x:v>
      </x:c>
      <x:c r="C99" s="20" t="n">
        <x:f>Daily!K67</x:f>
        <x:v>0.9920717592592593</x:v>
      </x:c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3" customHeight="1">
      <x:c r="A100" s="2" t="str">
        <x:f>TEXT(Daily!A68,"dd-mmm")</x:f>
        <x:v>01-Sep</x:v>
      </x:c>
      <x:c r="B100" s="20" t="n">
        <x:f>Daily!J68</x:f>
        <x:v>0.98</x:v>
      </x:c>
      <x:c r="C100" s="20" t="n">
        <x:f>Daily!K68</x:f>
        <x:v>0.9928819444444444</x:v>
      </x:c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t="str">
        <x:f>TEXT(Daily!A69,"dd-mmm")</x:f>
        <x:v>02-Sep</x:v>
      </x:c>
      <x:c r="B101" s="25" t="n">
        <x:f>Daily!J69</x:f>
        <x:v>0.9603567888999008</x:v>
      </x:c>
      <x:c r="C101" s="25" t="n">
        <x:f>Daily!K69</x:f>
        <x:v>0.963136574074074</x:v>
      </x:c>
    </x:row>
    <x:row r="102">
      <x:c r="A102" t="str">
        <x:f>TEXT(Daily!A70,"dd-mmm")</x:f>
        <x:v>03-Sep</x:v>
      </x:c>
      <x:c r="B102" s="25" t="n">
        <x:f>Daily!J70</x:f>
        <x:v>0.9869739478957916</x:v>
      </x:c>
      <x:c r="C102" s="25" t="n">
        <x:f>Daily!K70</x:f>
        <x:v>0.9938078703703703</x:v>
      </x:c>
    </x:row>
    <x:row r="103">
      <x:c r="A103" t="str">
        <x:f>TEXT(Daily!A71,"dd-mmm")</x:f>
        <x:v>04-Sep</x:v>
      </x:c>
      <x:c r="B103" s="25" t="n">
        <x:f>Daily!J71</x:f>
        <x:v>0.9872922776148583</x:v>
      </x:c>
      <x:c r="C103" s="25" t="n">
        <x:f>Daily!K71</x:f>
        <x:v>0.9917824074074074</x:v>
      </x:c>
    </x:row>
    <x:row r="104">
      <x:c r="A104" t="str">
        <x:f>TEXT(Daily!A72,"dd-mmm")</x:f>
        <x:v>05-Sep</x:v>
      </x:c>
      <x:c r="B104" s="25" t="n">
        <x:f>Daily!J72</x:f>
        <x:v>0.9888211382113821</x:v>
      </x:c>
      <x:c r="C104" s="25" t="n">
        <x:f>Daily!K72</x:f>
        <x:v>0.9925925925925926</x:v>
      </x:c>
    </x:row>
    <x:row r="105">
      <x:c r="A105" t="str">
        <x:f>TEXT(Daily!A73,"dd-mmm")</x:f>
        <x:v>06-Sep</x:v>
      </x:c>
      <x:c r="B105" s="25" t="n">
        <x:f>Daily!J73</x:f>
        <x:v>0.9773584905660377</x:v>
      </x:c>
      <x:c r="C105" s="25" t="n">
        <x:f>Daily!K73</x:f>
        <x:v>0.9923032407407407</x:v>
      </x:c>
    </x:row>
    <x:row r="106">
      <x:c r="A106" t="str">
        <x:f>TEXT(Daily!A74,"dd-mmm")</x:f>
        <x:v>07-Sep</x:v>
      </x:c>
      <x:c r="B106" s="25" t="n">
        <x:f>Daily!J74</x:f>
        <x:v>0.9902152641878669</x:v>
      </x:c>
      <x:c r="C106" s="25" t="n">
        <x:f>Daily!K74</x:f>
        <x:v>0.9929976851851852</x:v>
      </x:c>
    </x:row>
    <x:row r="107">
      <x:c r="A107" t="str">
        <x:f>TEXT(Daily!A75,"dd-mmm")</x:f>
        <x:v>08-Sep</x:v>
      </x:c>
      <x:c r="B107" s="25" t="n">
        <x:f>Daily!J75</x:f>
        <x:v>0.9765166340508806</x:v>
      </x:c>
      <x:c r="C107" s="25" t="n">
        <x:f>Daily!K75</x:f>
        <x:v>0.992650462962963</x:v>
      </x:c>
    </x:row>
    <x:row r="108">
      <x:c r="A108" t="str">
        <x:f>TEXT(Daily!A76,"dd-mmm")</x:f>
        <x:v>09-Sep</x:v>
      </x:c>
      <x:c r="B108" s="25" t="n">
        <x:f>Daily!J76</x:f>
        <x:v>0.9814432989690721</x:v>
      </x:c>
      <x:c r="C108" s="25" t="n">
        <x:f>Daily!K76</x:f>
        <x:v>0.9935185185185185</x:v>
      </x:c>
    </x:row>
    <x:row r="109">
      <x:c r="A109" t="str">
        <x:f>TEXT(Daily!A77,"dd-mmm")</x:f>
        <x:v>10-Sep</x:v>
      </x:c>
      <x:c r="B109" s="25" t="n">
        <x:f>Daily!J77</x:f>
        <x:v>0.9830827067669173</x:v>
      </x:c>
      <x:c r="C109" s="25" t="n">
        <x:f>Daily!K77</x:f>
        <x:v>0.9910300925925926</x:v>
      </x:c>
    </x:row>
    <x:row r="110">
      <x:c r="A110" t="str">
        <x:f>TEXT(Daily!A78,"dd-mmm")</x:f>
        <x:v>11-Sep</x:v>
      </x:c>
      <x:c r="B110" s="25" t="n">
        <x:f>Daily!J78</x:f>
        <x:v>0.9854368932038835</x:v>
      </x:c>
      <x:c r="C110" s="25" t="n">
        <x:f>Daily!K78</x:f>
        <x:v>0.993287037037037</x:v>
      </x:c>
    </x:row>
    <x:row r="111">
      <x:c r="A111" t="str">
        <x:f>TEXT(Daily!A79,"dd-mmm")</x:f>
        <x:v>12-Sep</x:v>
      </x:c>
      <x:c r="B111" s="25" t="n">
        <x:f>Daily!J79</x:f>
        <x:v>0.9835748792270531</x:v>
      </x:c>
      <x:c r="C111" s="25" t="n">
        <x:f>Daily!K79</x:f>
        <x:v>0.9920138888888889</x:v>
      </x:c>
    </x:row>
    <x:row r="112">
      <x:c r="A112" t="str">
        <x:f>TEXT(Daily!A80,"dd-mmm")</x:f>
        <x:v>13-Sep</x:v>
      </x:c>
      <x:c r="B112" s="25" t="n">
        <x:f>Daily!J80</x:f>
        <x:v>0.9835748792270531</x:v>
      </x:c>
      <x:c r="C112" s="25" t="n">
        <x:f>Daily!K80</x:f>
        <x:v>0.9931712962962963</x:v>
      </x:c>
    </x:row>
    <x:row r="113">
      <x:c r="A113" t="str">
        <x:f>TEXT(Daily!A81,"dd-mmm")</x:f>
        <x:v>14-Sep</x:v>
      </x:c>
      <x:c r="B113" s="25" t="n">
        <x:f>Daily!J81</x:f>
        <x:v>0.9755351681957186</x:v>
      </x:c>
      <x:c r="C113" s="25" t="n">
        <x:f>Daily!K81</x:f>
        <x:v>0.9924768518518519</x:v>
      </x:c>
    </x:row>
    <x:row r="114">
      <x:c r="A114" t="str">
        <x:f>TEXT(Daily!A82,"dd-mmm")</x:f>
        <x:v>15-Sep</x:v>
      </x:c>
      <x:c r="B114" s="25" t="n">
        <x:f>Daily!J82</x:f>
        <x:v>0.9808245445829339</x:v>
      </x:c>
      <x:c r="C114" s="25" t="n">
        <x:f>Daily!K82</x:f>
        <x:v>0.9927083333333333</x:v>
      </x:c>
    </x:row>
    <x:row r="115">
      <x:c r="A115" t="str">
        <x:f>TEXT(Daily!A83,"dd-mmm")</x:f>
        <x:v>16-Sep</x:v>
      </x:c>
      <x:c r="B115" s="25" t="n">
        <x:f>Daily!J83</x:f>
        <x:v>0.9834307992202729</x:v>
      </x:c>
      <x:c r="C115" s="25" t="n">
        <x:f>Daily!K83</x:f>
        <x:v>0.993287037037037</x:v>
      </x:c>
    </x:row>
    <x:row r="116">
      <x:c r="A116" t="str">
        <x:f>TEXT(Daily!A84,"dd-mmm")</x:f>
        <x:v>17-Sep</x:v>
      </x:c>
      <x:c r="B116" s="25" t="n">
        <x:f>Daily!J84</x:f>
        <x:v>0.9873908826382153</x:v>
      </x:c>
      <x:c r="C116" s="25" t="n">
        <x:f>Daily!K84</x:f>
        <x:v>0.9929976851851852</x:v>
      </x:c>
    </x:row>
    <x:row r="117">
      <x:c r="A117" t="str">
        <x:f>TEXT(Daily!A85,"dd-mmm")</x:f>
        <x:v>18-Sep</x:v>
      </x:c>
      <x:c r="B117" s="25" t="n">
        <x:f>Daily!J85</x:f>
        <x:v>0.9776649746192894</x:v>
      </x:c>
      <x:c r="C117" s="25" t="n">
        <x:f>Daily!K85</x:f>
        <x:v>0.9924189814814814</x:v>
      </x:c>
    </x:row>
    <x:row r="118">
      <x:c r="A118" t="str">
        <x:f>TEXT(Daily!A86,"dd-mmm")</x:f>
        <x:v>19-Sep</x:v>
      </x:c>
      <x:c r="B118" s="25" t="n">
        <x:f>Daily!J86</x:f>
        <x:v>0.9770773638968482</x:v>
      </x:c>
      <x:c r="C118" s="25" t="n">
        <x:f>Daily!K86</x:f>
        <x:v>0.9914351851851851</x:v>
      </x:c>
    </x:row>
    <x:row r="119">
      <x:c r="A119" t="str">
        <x:f>TEXT(Daily!A87,"dd-mmm")</x:f>
        <x:v>20-Sep</x:v>
      </x:c>
      <x:c r="B119" s="25" t="n">
        <x:f>Daily!J87</x:f>
        <x:v>0.9801192842942346</x:v>
      </x:c>
      <x:c r="C119" s="25" t="n">
        <x:f>Daily!K87</x:f>
        <x:v>0.9940972222222222</x:v>
      </x:c>
    </x:row>
    <x:row r="120">
      <x:c r="A120" t="str">
        <x:f>TEXT(Daily!A88,"dd-mmm")</x:f>
        <x:v>21-Sep</x:v>
      </x:c>
      <x:c r="B120" s="25" t="n">
        <x:f>Daily!J88</x:f>
        <x:v>0.9868049010367578</x:v>
      </x:c>
      <x:c r="C120" s="25" t="n">
        <x:f>Daily!K88</x:f>
        <x:v>0.992824074074074</x:v>
      </x:c>
    </x:row>
    <x:row r="121">
      <x:c r="A121" t="str">
        <x:f>TEXT(Daily!A89,"dd-mmm")</x:f>
        <x:v>22-Sep</x:v>
      </x:c>
      <x:c r="B121" s="25" t="n">
        <x:f>Daily!J89</x:f>
        <x:v>0.9829317269076305</x:v>
      </x:c>
      <x:c r="C121" s="25" t="n">
        <x:f>Daily!K89</x:f>
        <x:v>0.9929976851851852</x:v>
      </x:c>
    </x:row>
    <x:row r="122">
      <x:c r="A122" t="str">
        <x:f>TEXT(Daily!A90,"dd-mmm")</x:f>
        <x:v>23-Sep</x:v>
      </x:c>
      <x:c r="B122" s="25" t="n">
        <x:f>Daily!J90</x:f>
        <x:v>0.9775171065493646</x:v>
      </x:c>
      <x:c r="C122" s="25" t="n">
        <x:f>Daily!K90</x:f>
        <x:v>0.9920138888888889</x:v>
      </x:c>
    </x:row>
    <x:row r="123">
      <x:c r="A123" t="str">
        <x:f>TEXT(Daily!A91,"dd-mmm")</x:f>
        <x:v>24-Sep</x:v>
      </x:c>
      <x:c r="B123" s="25" t="n">
        <x:f>Daily!J91</x:f>
        <x:v>0.9891540130151844</x:v>
      </x:c>
      <x:c r="C123" s="25" t="n">
        <x:f>Daily!K91</x:f>
        <x:v>0.9912037037037037</x:v>
      </x:c>
    </x:row>
    <x:row r="124">
      <x:c r="A124" t="str">
        <x:f>TEXT(Daily!A92,"dd-mmm")</x:f>
        <x:v>25-Sep</x:v>
      </x:c>
      <x:c r="B124" s="25" t="n">
        <x:f>Daily!J92</x:f>
        <x:v>0.9789569990850869</x:v>
      </x:c>
      <x:c r="C124" s="25" t="n">
        <x:f>Daily!K92</x:f>
        <x:v>0.9931712962962963</x:v>
      </x:c>
    </x:row>
    <x:row r="125">
      <x:c r="A125" t="str">
        <x:f>TEXT(Daily!A93,"dd-mmm")</x:f>
        <x:v>26-Sep</x:v>
      </x:c>
      <x:c r="B125" s="25" t="n">
        <x:f>Daily!J93</x:f>
        <x:v>0.9863813229571985</x:v>
      </x:c>
      <x:c r="C125" s="25" t="n">
        <x:f>Daily!K93</x:f>
        <x:v>0.9938078703703703</x:v>
      </x:c>
    </x:row>
    <x:row r="126">
      <x:c r="A126" t="str">
        <x:f>TEXT(Daily!A94,"dd-mmm")</x:f>
        <x:v>27-Sep</x:v>
      </x:c>
      <x:c r="B126" s="25" t="n">
        <x:f>Daily!J94</x:f>
        <x:v>0.9815573770491803</x:v>
      </x:c>
      <x:c r="C126" s="25" t="n">
        <x:f>Daily!K94</x:f>
        <x:v>0.9924768518518519</x:v>
      </x:c>
    </x:row>
    <x:row r="127">
      <x:c r="A127" t="str">
        <x:f>TEXT(Daily!A95,"dd-mmm")</x:f>
        <x:v>28-Sep</x:v>
      </x:c>
      <x:c r="B127" s="25" t="n">
        <x:f>Daily!J95</x:f>
        <x:v>0.9808467741935484</x:v>
      </x:c>
      <x:c r="C127" s="25" t="n">
        <x:f>Daily!K95</x:f>
        <x:v>0.9931712962962963</x:v>
      </x:c>
    </x:row>
  </x:sheetData>
  <x:pageMargins left="0.7" right="0.7" top="0.75" bottom="0.75" header="0.3" footer="0.3"/>
  <x:drawing xmlns:r="http://schemas.openxmlformats.org/officeDocument/2006/relationships" r:id="Rd71df9f1af0d4572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18" hidden="0" customWidth="1"/>
    <x:col min="14" max="14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3" t="str">
        <x:v>Daily operations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 t="str">
        <x:v>Source: deterministic synthetic CSVs. One row per date. Refresh through the supplied VBA module.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0" customHeight="1">
      <x:c r="A5" s="8" t="str">
        <x:v>Date</x:v>
      </x:c>
      <x:c r="B5" s="8" t="str">
        <x:v>Commands</x:v>
      </x:c>
      <x:c r="C5" s="8" t="str">
        <x:v>Successes</x:v>
      </x:c>
      <x:c r="D5" s="8" t="str">
        <x:v>Failures</x:v>
      </x:c>
      <x:c r="E5" s="8" t="str">
        <x:v>Expected HB</x:v>
      </x:c>
      <x:c r="F5" s="8" t="str">
        <x:v>Received HB</x:v>
      </x:c>
      <x:c r="G5" s="8" t="str">
        <x:v>Est. kWh</x:v>
      </x:c>
      <x:c r="H5" s="8" t="str">
        <x:v>Baseline kWh</x:v>
      </x:c>
      <x:c r="I5" s="8" t="str">
        <x:v>Mean ack ms</x:v>
      </x:c>
      <x:c r="J5" s="8" t="str">
        <x:v>Success %</x:v>
      </x:c>
      <x:c r="K5" s="8" t="str">
        <x:v>Heartbeat %</x:v>
      </x:c>
      <x:c r="L5" s="8" t="str">
        <x:v>Difference kWh</x:v>
      </x:c>
      <x:c r="M5" s="8" t="str">
        <x:v>Cost diff INR</x:v>
      </x:c>
      <x:c r="N5" s="2"/>
    </x:row>
    <x:row r="6" ht="23" customHeight="1">
      <x:c r="A6" s="17" t="d">
        <x:v>2026-07-01T00:00:00.000Z</x:v>
      </x:c>
      <x:c r="B6" s="18" t="n">
        <x:v>1025</x:v>
      </x:c>
      <x:c r="C6" s="18" t="n">
        <x:v>1014</x:v>
      </x:c>
      <x:c r="D6" s="18" t="n">
        <x:v>11</x:v>
      </x:c>
      <x:c r="E6" s="18" t="n">
        <x:v>17280</x:v>
      </x:c>
      <x:c r="F6" s="18" t="n">
        <x:v>17147</x:v>
      </x:c>
      <x:c r="G6" s="19" t="n">
        <x:v>23.452299</x:v>
      </x:c>
      <x:c r="H6" s="19" t="n">
        <x:v>25.349999999999998</x:v>
      </x:c>
      <x:c r="I6" s="19" t="n">
        <x:v>320.53313609467455</x:v>
      </x:c>
      <x:c r="J6" s="20" t="n">
        <x:f>IF(B6=0,"n.a.",C6/B6)</x:f>
        <x:v>0.9892682926829268</x:v>
      </x:c>
      <x:c r="K6" s="20" t="n">
        <x:f>IF(E6=0,"n.a.",F6/E6)</x:f>
        <x:v>0.9923032407407407</x:v>
      </x:c>
      <x:c r="L6" s="19" t="n">
        <x:f>H6-G6</x:f>
        <x:v>1.8977009999999979</x:v>
      </x:c>
      <x:c r="M6" s="19" t="n">
        <x:f>L6*Settings!$B$7</x:f>
        <x:v>15.181607999999983</x:v>
      </x:c>
      <x:c r="N6" s="2"/>
    </x:row>
    <x:row r="7" ht="23" customHeight="1">
      <x:c r="A7" s="17" t="d">
        <x:v>2026-07-02T00:00:00.000Z</x:v>
      </x:c>
      <x:c r="B7" s="18" t="n">
        <x:v>998</x:v>
      </x:c>
      <x:c r="C7" s="18" t="n">
        <x:v>976</x:v>
      </x:c>
      <x:c r="D7" s="18" t="n">
        <x:v>22</x:v>
      </x:c>
      <x:c r="E7" s="18" t="n">
        <x:v>17280</x:v>
      </x:c>
      <x:c r="F7" s="18" t="n">
        <x:v>17160</x:v>
      </x:c>
      <x:c r="G7" s="19" t="n">
        <x:v>23.655215</x:v>
      </x:c>
      <x:c r="H7" s="19" t="n">
        <x:v>25.349999999999998</x:v>
      </x:c>
      <x:c r="I7" s="19" t="n">
        <x:v>317.0884221311475</x:v>
      </x:c>
      <x:c r="J7" s="20" t="n">
        <x:f>IF(B7=0,"n.a.",C7/B7)</x:f>
        <x:v>0.9779559118236473</x:v>
      </x:c>
      <x:c r="K7" s="20" t="n">
        <x:f>IF(E7=0,"n.a.",F7/E7)</x:f>
        <x:v>0.9930555555555556</x:v>
      </x:c>
      <x:c r="L7" s="19" t="n">
        <x:f>H7-G7</x:f>
        <x:v>1.6947849999999995</x:v>
      </x:c>
      <x:c r="M7" s="19" t="n">
        <x:f>L7*Settings!$B$7</x:f>
        <x:v>13.558279999999996</x:v>
      </x:c>
      <x:c r="N7" s="2"/>
    </x:row>
    <x:row r="8" ht="23" customHeight="1">
      <x:c r="A8" s="17" t="d">
        <x:v>2026-07-03T00:00:00.000Z</x:v>
      </x:c>
      <x:c r="B8" s="18" t="n">
        <x:v>1015</x:v>
      </x:c>
      <x:c r="C8" s="18" t="n">
        <x:v>1002</x:v>
      </x:c>
      <x:c r="D8" s="18" t="n">
        <x:v>13</x:v>
      </x:c>
      <x:c r="E8" s="18" t="n">
        <x:v>17280</x:v>
      </x:c>
      <x:c r="F8" s="18" t="n">
        <x:v>17147</x:v>
      </x:c>
      <x:c r="G8" s="19" t="n">
        <x:v>23.219235</x:v>
      </x:c>
      <x:c r="H8" s="19" t="n">
        <x:v>25.349999999999998</x:v>
      </x:c>
      <x:c r="I8" s="19" t="n">
        <x:v>315.8775449101796</x:v>
      </x:c>
      <x:c r="J8" s="20" t="n">
        <x:f>IF(B8=0,"n.a.",C8/B8)</x:f>
        <x:v>0.987192118226601</x:v>
      </x:c>
      <x:c r="K8" s="20" t="n">
        <x:f>IF(E8=0,"n.a.",F8/E8)</x:f>
        <x:v>0.9923032407407407</x:v>
      </x:c>
      <x:c r="L8" s="19" t="n">
        <x:f>H8-G8</x:f>
        <x:v>2.1307649999999967</x:v>
      </x:c>
      <x:c r="M8" s="19" t="n">
        <x:f>L8*Settings!$B$7</x:f>
        <x:v>17.046119999999974</x:v>
      </x:c>
      <x:c r="N8" s="2"/>
    </x:row>
    <x:row r="9" ht="23" customHeight="1">
      <x:c r="A9" s="17" t="d">
        <x:v>2026-07-04T00:00:00.000Z</x:v>
      </x:c>
      <x:c r="B9" s="18" t="n">
        <x:v>1006</x:v>
      </x:c>
      <x:c r="C9" s="18" t="n">
        <x:v>989</x:v>
      </x:c>
      <x:c r="D9" s="18" t="n">
        <x:v>17</x:v>
      </x:c>
      <x:c r="E9" s="18" t="n">
        <x:v>17280</x:v>
      </x:c>
      <x:c r="F9" s="18" t="n">
        <x:v>17148</x:v>
      </x:c>
      <x:c r="G9" s="19" t="n">
        <x:v>23.178884</x:v>
      </x:c>
      <x:c r="H9" s="19" t="n">
        <x:v>25.349999999999998</x:v>
      </x:c>
      <x:c r="I9" s="19" t="n">
        <x:v>309.4856420626896</x:v>
      </x:c>
      <x:c r="J9" s="20" t="n">
        <x:f>IF(B9=0,"n.a.",C9/B9)</x:f>
        <x:v>0.9831013916500994</x:v>
      </x:c>
      <x:c r="K9" s="20" t="n">
        <x:f>IF(E9=0,"n.a.",F9/E9)</x:f>
        <x:v>0.9923611111111111</x:v>
      </x:c>
      <x:c r="L9" s="19" t="n">
        <x:f>H9-G9</x:f>
        <x:v>2.171115999999998</x:v>
      </x:c>
      <x:c r="M9" s="19" t="n">
        <x:f>L9*Settings!$B$7</x:f>
        <x:v>17.368927999999983</x:v>
      </x:c>
      <x:c r="N9" s="2"/>
    </x:row>
    <x:row r="10" ht="23" customHeight="1">
      <x:c r="A10" s="17" t="d">
        <x:v>2026-07-05T00:00:00.000Z</x:v>
      </x:c>
      <x:c r="B10" s="18" t="n">
        <x:v>1034</x:v>
      </x:c>
      <x:c r="C10" s="18" t="n">
        <x:v>1013</x:v>
      </x:c>
      <x:c r="D10" s="18" t="n">
        <x:v>21</x:v>
      </x:c>
      <x:c r="E10" s="18" t="n">
        <x:v>17280</x:v>
      </x:c>
      <x:c r="F10" s="18" t="n">
        <x:v>17139</x:v>
      </x:c>
      <x:c r="G10" s="19" t="n">
        <x:v>23.479185</x:v>
      </x:c>
      <x:c r="H10" s="19" t="n">
        <x:v>25.349999999999998</x:v>
      </x:c>
      <x:c r="I10" s="19" t="n">
        <x:v>323.2882527147088</x:v>
      </x:c>
      <x:c r="J10" s="20" t="n">
        <x:f>IF(B10=0,"n.a.",C10/B10)</x:f>
        <x:v>0.9796905222437138</x:v>
      </x:c>
      <x:c r="K10" s="20" t="n">
        <x:f>IF(E10=0,"n.a.",F10/E10)</x:f>
        <x:v>0.9918402777777777</x:v>
      </x:c>
      <x:c r="L10" s="19" t="n">
        <x:f>H10-G10</x:f>
        <x:v>1.8708149999999968</x:v>
      </x:c>
      <x:c r="M10" s="19" t="n">
        <x:f>L10*Settings!$B$7</x:f>
        <x:v>14.966519999999974</x:v>
      </x:c>
      <x:c r="N10" s="2"/>
    </x:row>
    <x:row r="11" ht="23" customHeight="1">
      <x:c r="A11" s="17" t="d">
        <x:v>2026-07-06T00:00:00.000Z</x:v>
      </x:c>
      <x:c r="B11" s="18" t="n">
        <x:v>1042</x:v>
      </x:c>
      <x:c r="C11" s="18" t="n">
        <x:v>1028</x:v>
      </x:c>
      <x:c r="D11" s="18" t="n">
        <x:v>14</x:v>
      </x:c>
      <x:c r="E11" s="18" t="n">
        <x:v>17280</x:v>
      </x:c>
      <x:c r="F11" s="18" t="n">
        <x:v>17143</x:v>
      </x:c>
      <x:c r="G11" s="19" t="n">
        <x:v>22.955</x:v>
      </x:c>
      <x:c r="H11" s="19" t="n">
        <x:v>25.349999999999998</x:v>
      </x:c>
      <x:c r="I11" s="19" t="n">
        <x:v>320.34250972762646</x:v>
      </x:c>
      <x:c r="J11" s="20" t="n">
        <x:f>IF(B11=0,"n.a.",C11/B11)</x:f>
        <x:v>0.9865642994241842</x:v>
      </x:c>
      <x:c r="K11" s="20" t="n">
        <x:f>IF(E11=0,"n.a.",F11/E11)</x:f>
        <x:v>0.9920717592592593</x:v>
      </x:c>
      <x:c r="L11" s="19" t="n">
        <x:f>H11-G11</x:f>
        <x:v>2.3949999999999996</x:v>
      </x:c>
      <x:c r="M11" s="19" t="n">
        <x:f>L11*Settings!$B$7</x:f>
        <x:v>19.159999999999997</x:v>
      </x:c>
      <x:c r="N11" s="2"/>
    </x:row>
    <x:row r="12" ht="23" customHeight="1">
      <x:c r="A12" s="17" t="d">
        <x:v>2026-07-07T00:00:00.000Z</x:v>
      </x:c>
      <x:c r="B12" s="18" t="n">
        <x:v>1047</x:v>
      </x:c>
      <x:c r="C12" s="18" t="n">
        <x:v>1032</x:v>
      </x:c>
      <x:c r="D12" s="18" t="n">
        <x:v>15</x:v>
      </x:c>
      <x:c r="E12" s="18" t="n">
        <x:v>17280</x:v>
      </x:c>
      <x:c r="F12" s="18" t="n">
        <x:v>17165</x:v>
      </x:c>
      <x:c r="G12" s="19" t="n">
        <x:v>23.343492</x:v>
      </x:c>
      <x:c r="H12" s="19" t="n">
        <x:v>25.349999999999998</x:v>
      </x:c>
      <x:c r="I12" s="19" t="n">
        <x:v>316.0112403100775</x:v>
      </x:c>
      <x:c r="J12" s="20" t="n">
        <x:f>IF(B12=0,"n.a.",C12/B12)</x:f>
        <x:v>0.9856733524355301</x:v>
      </x:c>
      <x:c r="K12" s="20" t="n">
        <x:f>IF(E12=0,"n.a.",F12/E12)</x:f>
        <x:v>0.9933449074074074</x:v>
      </x:c>
      <x:c r="L12" s="19" t="n">
        <x:f>H12-G12</x:f>
        <x:v>2.0065079999999966</x:v>
      </x:c>
      <x:c r="M12" s="19" t="n">
        <x:f>L12*Settings!$B$7</x:f>
        <x:v>16.052063999999973</x:v>
      </x:c>
      <x:c r="N12" s="2"/>
    </x:row>
    <x:row r="13" ht="23" customHeight="1">
      <x:c r="A13" s="17" t="d">
        <x:v>2026-07-08T00:00:00.000Z</x:v>
      </x:c>
      <x:c r="B13" s="18" t="n">
        <x:v>1027</x:v>
      </x:c>
      <x:c r="C13" s="18" t="n">
        <x:v>1011</x:v>
      </x:c>
      <x:c r="D13" s="18" t="n">
        <x:v>16</x:v>
      </x:c>
      <x:c r="E13" s="18" t="n">
        <x:v>17280</x:v>
      </x:c>
      <x:c r="F13" s="18" t="n">
        <x:v>17162</x:v>
      </x:c>
      <x:c r="G13" s="19" t="n">
        <x:v>23.157189</x:v>
      </x:c>
      <x:c r="H13" s="19" t="n">
        <x:v>25.349999999999998</x:v>
      </x:c>
      <x:c r="I13" s="19" t="n">
        <x:v>316.7665677546983</x:v>
      </x:c>
      <x:c r="J13" s="20" t="n">
        <x:f>IF(B13=0,"n.a.",C13/B13)</x:f>
        <x:v>0.9844206426484907</x:v>
      </x:c>
      <x:c r="K13" s="20" t="n">
        <x:f>IF(E13=0,"n.a.",F13/E13)</x:f>
        <x:v>0.9931712962962963</x:v>
      </x:c>
      <x:c r="L13" s="19" t="n">
        <x:f>H13-G13</x:f>
        <x:v>2.192810999999999</x:v>
      </x:c>
      <x:c r="M13" s="19" t="n">
        <x:f>L13*Settings!$B$7</x:f>
        <x:v>17.54248799999999</x:v>
      </x:c>
      <x:c r="N13" s="2"/>
    </x:row>
    <x:row r="14" ht="23" customHeight="1">
      <x:c r="A14" s="17" t="d">
        <x:v>2026-07-09T00:00:00.000Z</x:v>
      </x:c>
      <x:c r="B14" s="18" t="n">
        <x:v>987</x:v>
      </x:c>
      <x:c r="C14" s="18" t="n">
        <x:v>972</x:v>
      </x:c>
      <x:c r="D14" s="18" t="n">
        <x:v>15</x:v>
      </x:c>
      <x:c r="E14" s="18" t="n">
        <x:v>17280</x:v>
      </x:c>
      <x:c r="F14" s="18" t="n">
        <x:v>17151</x:v>
      </x:c>
      <x:c r="G14" s="19" t="n">
        <x:v>23.054877</x:v>
      </x:c>
      <x:c r="H14" s="19" t="n">
        <x:v>25.349999999999998</x:v>
      </x:c>
      <x:c r="I14" s="19" t="n">
        <x:v>312.0469135802469</x:v>
      </x:c>
      <x:c r="J14" s="20" t="n">
        <x:f>IF(B14=0,"n.a.",C14/B14)</x:f>
        <x:v>0.9848024316109423</x:v>
      </x:c>
      <x:c r="K14" s="20" t="n">
        <x:f>IF(E14=0,"n.a.",F14/E14)</x:f>
        <x:v>0.9925347222222223</x:v>
      </x:c>
      <x:c r="L14" s="19" t="n">
        <x:f>H14-G14</x:f>
        <x:v>2.2951229999999967</x:v>
      </x:c>
      <x:c r="M14" s="19" t="n">
        <x:f>L14*Settings!$B$7</x:f>
        <x:v>18.360983999999974</x:v>
      </x:c>
      <x:c r="N14" s="2"/>
    </x:row>
    <x:row r="15" ht="23" customHeight="1">
      <x:c r="A15" s="17" t="d">
        <x:v>2026-07-10T00:00:00.000Z</x:v>
      </x:c>
      <x:c r="B15" s="18" t="n">
        <x:v>1024</x:v>
      </x:c>
      <x:c r="C15" s="18" t="n">
        <x:v>1000</x:v>
      </x:c>
      <x:c r="D15" s="18" t="n">
        <x:v>24</x:v>
      </x:c>
      <x:c r="E15" s="18" t="n">
        <x:v>17280</x:v>
      </x:c>
      <x:c r="F15" s="18" t="n">
        <x:v>17133</x:v>
      </x:c>
      <x:c r="G15" s="19" t="n">
        <x:v>23.212202</x:v>
      </x:c>
      <x:c r="H15" s="19" t="n">
        <x:v>25.349999999999998</x:v>
      </x:c>
      <x:c r="I15" s="19" t="n">
        <x:v>315.1304</x:v>
      </x:c>
      <x:c r="J15" s="20" t="n">
        <x:f>IF(B15=0,"n.a.",C15/B15)</x:f>
        <x:v>0.9765625</x:v>
      </x:c>
      <x:c r="K15" s="20" t="n">
        <x:f>IF(E15=0,"n.a.",F15/E15)</x:f>
        <x:v>0.9914930555555556</x:v>
      </x:c>
      <x:c r="L15" s="19" t="n">
        <x:f>H15-G15</x:f>
        <x:v>2.1377979999999965</x:v>
      </x:c>
      <x:c r="M15" s="19" t="n">
        <x:f>L15*Settings!$B$7</x:f>
        <x:v>17.102383999999972</x:v>
      </x:c>
      <x:c r="N15" s="2"/>
    </x:row>
    <x:row r="16" ht="23" customHeight="1">
      <x:c r="A16" s="17" t="d">
        <x:v>2026-07-11T00:00:00.000Z</x:v>
      </x:c>
      <x:c r="B16" s="18" t="n">
        <x:v>1020</x:v>
      </x:c>
      <x:c r="C16" s="18" t="n">
        <x:v>994</x:v>
      </x:c>
      <x:c r="D16" s="18" t="n">
        <x:v>26</x:v>
      </x:c>
      <x:c r="E16" s="18" t="n">
        <x:v>17280</x:v>
      </x:c>
      <x:c r="F16" s="18" t="n">
        <x:v>17141</x:v>
      </x:c>
      <x:c r="G16" s="19" t="n">
        <x:v>23.664872</x:v>
      </x:c>
      <x:c r="H16" s="19" t="n">
        <x:v>25.349999999999998</x:v>
      </x:c>
      <x:c r="I16" s="19" t="n">
        <x:v>318.40724346076456</x:v>
      </x:c>
      <x:c r="J16" s="20" t="n">
        <x:f>IF(B16=0,"n.a.",C16/B16)</x:f>
        <x:v>0.9745098039215686</x:v>
      </x:c>
      <x:c r="K16" s="20" t="n">
        <x:f>IF(E16=0,"n.a.",F16/E16)</x:f>
        <x:v>0.9919560185185186</x:v>
      </x:c>
      <x:c r="L16" s="19" t="n">
        <x:f>H16-G16</x:f>
        <x:v>1.6851279999999988</x:v>
      </x:c>
      <x:c r="M16" s="19" t="n">
        <x:f>L16*Settings!$B$7</x:f>
        <x:v>13.48102399999999</x:v>
      </x:c>
      <x:c r="N16" s="2"/>
    </x:row>
    <x:row r="17" ht="23" customHeight="1">
      <x:c r="A17" s="17" t="d">
        <x:v>2026-07-12T00:00:00.000Z</x:v>
      </x:c>
      <x:c r="B17" s="18" t="n">
        <x:v>1028</x:v>
      </x:c>
      <x:c r="C17" s="18" t="n">
        <x:v>1017</x:v>
      </x:c>
      <x:c r="D17" s="18" t="n">
        <x:v>11</x:v>
      </x:c>
      <x:c r="E17" s="18" t="n">
        <x:v>17280</x:v>
      </x:c>
      <x:c r="F17" s="18" t="n">
        <x:v>17141</x:v>
      </x:c>
      <x:c r="G17" s="19" t="n">
        <x:v>23.195336</x:v>
      </x:c>
      <x:c r="H17" s="19" t="n">
        <x:v>25.349999999999998</x:v>
      </x:c>
      <x:c r="I17" s="19" t="n">
        <x:v>314.69026548672565</x:v>
      </x:c>
      <x:c r="J17" s="20" t="n">
        <x:f>IF(B17=0,"n.a.",C17/B17)</x:f>
        <x:v>0.9892996108949417</x:v>
      </x:c>
      <x:c r="K17" s="20" t="n">
        <x:f>IF(E17=0,"n.a.",F17/E17)</x:f>
        <x:v>0.9919560185185186</x:v>
      </x:c>
      <x:c r="L17" s="19" t="n">
        <x:f>H17-G17</x:f>
        <x:v>2.154663999999997</x:v>
      </x:c>
      <x:c r="M17" s="19" t="n">
        <x:f>L17*Settings!$B$7</x:f>
        <x:v>17.237311999999974</x:v>
      </x:c>
      <x:c r="N17" s="2"/>
    </x:row>
    <x:row r="18" ht="23" customHeight="1">
      <x:c r="A18" s="17" t="d">
        <x:v>2026-07-13T00:00:00.000Z</x:v>
      </x:c>
      <x:c r="B18" s="18" t="n">
        <x:v>1008</x:v>
      </x:c>
      <x:c r="C18" s="18" t="n">
        <x:v>990</x:v>
      </x:c>
      <x:c r="D18" s="18" t="n">
        <x:v>18</x:v>
      </x:c>
      <x:c r="E18" s="18" t="n">
        <x:v>17280</x:v>
      </x:c>
      <x:c r="F18" s="18" t="n">
        <x:v>17150</x:v>
      </x:c>
      <x:c r="G18" s="19" t="n">
        <x:v>23.130288</x:v>
      </x:c>
      <x:c r="H18" s="19" t="n">
        <x:v>25.349999999999998</x:v>
      </x:c>
      <x:c r="I18" s="19" t="n">
        <x:v>312.6834343434343</x:v>
      </x:c>
      <x:c r="J18" s="20" t="n">
        <x:f>IF(B18=0,"n.a.",C18/B18)</x:f>
        <x:v>0.9821428571428571</x:v>
      </x:c>
      <x:c r="K18" s="20" t="n">
        <x:f>IF(E18=0,"n.a.",F18/E18)</x:f>
        <x:v>0.9924768518518519</x:v>
      </x:c>
      <x:c r="L18" s="19" t="n">
        <x:f>H18-G18</x:f>
        <x:v>2.2197119999999977</x:v>
      </x:c>
      <x:c r="M18" s="19" t="n">
        <x:f>L18*Settings!$B$7</x:f>
        <x:v>17.75769599999998</x:v>
      </x:c>
      <x:c r="N18" s="2"/>
    </x:row>
    <x:row r="19" ht="23" customHeight="1">
      <x:c r="A19" s="17" t="d">
        <x:v>2026-07-14T00:00:00.000Z</x:v>
      </x:c>
      <x:c r="B19" s="18" t="n">
        <x:v>1028</x:v>
      </x:c>
      <x:c r="C19" s="18" t="n">
        <x:v>1008</x:v>
      </x:c>
      <x:c r="D19" s="18" t="n">
        <x:v>20</x:v>
      </x:c>
      <x:c r="E19" s="18" t="n">
        <x:v>17280</x:v>
      </x:c>
      <x:c r="F19" s="18" t="n">
        <x:v>17156</x:v>
      </x:c>
      <x:c r="G19" s="19" t="n">
        <x:v>23.29848</x:v>
      </x:c>
      <x:c r="H19" s="19" t="n">
        <x:v>25.349999999999998</x:v>
      </x:c>
      <x:c r="I19" s="19" t="n">
        <x:v>313.29255952380953</x:v>
      </x:c>
      <x:c r="J19" s="20" t="n">
        <x:f>IF(B19=0,"n.a.",C19/B19)</x:f>
        <x:v>0.980544747081712</x:v>
      </x:c>
      <x:c r="K19" s="20" t="n">
        <x:f>IF(E19=0,"n.a.",F19/E19)</x:f>
        <x:v>0.992824074074074</x:v>
      </x:c>
      <x:c r="L19" s="19" t="n">
        <x:f>H19-G19</x:f>
        <x:v>2.0515199999999965</x:v>
      </x:c>
      <x:c r="M19" s="19" t="n">
        <x:f>L19*Settings!$B$7</x:f>
        <x:v>16.41215999999997</x:v>
      </x:c>
      <x:c r="N19" s="2"/>
    </x:row>
    <x:row r="20" ht="23" customHeight="1">
      <x:c r="A20" s="17" t="d">
        <x:v>2026-07-15T00:00:00.000Z</x:v>
      </x:c>
      <x:c r="B20" s="18" t="n">
        <x:v>1034</x:v>
      </x:c>
      <x:c r="C20" s="18" t="n">
        <x:v>1017</x:v>
      </x:c>
      <x:c r="D20" s="18" t="n">
        <x:v>17</x:v>
      </x:c>
      <x:c r="E20" s="18" t="n">
        <x:v>17280</x:v>
      </x:c>
      <x:c r="F20" s="18" t="n">
        <x:v>17163</x:v>
      </x:c>
      <x:c r="G20" s="19" t="n">
        <x:v>23.108914</x:v>
      </x:c>
      <x:c r="H20" s="19" t="n">
        <x:v>25.349999999999998</x:v>
      </x:c>
      <x:c r="I20" s="19" t="n">
        <x:v>314.1600786627335</x:v>
      </x:c>
      <x:c r="J20" s="20" t="n">
        <x:f>IF(B20=0,"n.a.",C20/B20)</x:f>
        <x:v>0.9835589941972921</x:v>
      </x:c>
      <x:c r="K20" s="20" t="n">
        <x:f>IF(E20=0,"n.a.",F20/E20)</x:f>
        <x:v>0.9932291666666667</x:v>
      </x:c>
      <x:c r="L20" s="19" t="n">
        <x:f>H20-G20</x:f>
        <x:v>2.2410859999999992</x:v>
      </x:c>
      <x:c r="M20" s="19" t="n">
        <x:f>L20*Settings!$B$7</x:f>
        <x:v>17.928687999999994</x:v>
      </x:c>
      <x:c r="N20" s="2"/>
    </x:row>
    <x:row r="21" ht="23" customHeight="1">
      <x:c r="A21" s="17" t="d">
        <x:v>2026-07-16T00:00:00.000Z</x:v>
      </x:c>
      <x:c r="B21" s="18" t="n">
        <x:v>1013</x:v>
      </x:c>
      <x:c r="C21" s="18" t="n">
        <x:v>1001</x:v>
      </x:c>
      <x:c r="D21" s="18" t="n">
        <x:v>12</x:v>
      </x:c>
      <x:c r="E21" s="18" t="n">
        <x:v>17280</x:v>
      </x:c>
      <x:c r="F21" s="18" t="n">
        <x:v>17170</x:v>
      </x:c>
      <x:c r="G21" s="19" t="n">
        <x:v>23.338856</x:v>
      </x:c>
      <x:c r="H21" s="19" t="n">
        <x:v>25.349999999999998</x:v>
      </x:c>
      <x:c r="I21" s="19" t="n">
        <x:v>317.71048951048954</x:v>
      </x:c>
      <x:c r="J21" s="20" t="n">
        <x:f>IF(B21=0,"n.a.",C21/B21)</x:f>
        <x:v>0.9881539980256664</x:v>
      </x:c>
      <x:c r="K21" s="20" t="n">
        <x:f>IF(E21=0,"n.a.",F21/E21)</x:f>
        <x:v>0.9936342592592593</x:v>
      </x:c>
      <x:c r="L21" s="19" t="n">
        <x:f>H21-G21</x:f>
        <x:v>2.011143999999998</x:v>
      </x:c>
      <x:c r="M21" s="19" t="n">
        <x:f>L21*Settings!$B$7</x:f>
        <x:v>16.089151999999984</x:v>
      </x:c>
      <x:c r="N21" s="2"/>
    </x:row>
    <x:row r="22" ht="23" customHeight="1">
      <x:c r="A22" s="17" t="d">
        <x:v>2026-07-17T00:00:00.000Z</x:v>
      </x:c>
      <x:c r="B22" s="18" t="n">
        <x:v>979</x:v>
      </x:c>
      <x:c r="C22" s="18" t="n">
        <x:v>970</x:v>
      </x:c>
      <x:c r="D22" s="18" t="n">
        <x:v>9</x:v>
      </x:c>
      <x:c r="E22" s="18" t="n">
        <x:v>17280</x:v>
      </x:c>
      <x:c r="F22" s="18" t="n">
        <x:v>17165</x:v>
      </x:c>
      <x:c r="G22" s="19" t="n">
        <x:v>23.347092</x:v>
      </x:c>
      <x:c r="H22" s="19" t="n">
        <x:v>25.349999999999998</x:v>
      </x:c>
      <x:c r="I22" s="19" t="n">
        <x:v>312.52020618556696</x:v>
      </x:c>
      <x:c r="J22" s="20" t="n">
        <x:f>IF(B22=0,"n.a.",C22/B22)</x:f>
        <x:v>0.9908069458631257</x:v>
      </x:c>
      <x:c r="K22" s="20" t="n">
        <x:f>IF(E22=0,"n.a.",F22/E22)</x:f>
        <x:v>0.9933449074074074</x:v>
      </x:c>
      <x:c r="L22" s="19" t="n">
        <x:f>H22-G22</x:f>
        <x:v>2.002907999999998</x:v>
      </x:c>
      <x:c r="M22" s="19" t="n">
        <x:f>L22*Settings!$B$7</x:f>
        <x:v>16.023263999999983</x:v>
      </x:c>
      <x:c r="N22" s="2"/>
    </x:row>
    <x:row r="23" ht="23" customHeight="1">
      <x:c r="A23" s="17" t="d">
        <x:v>2026-07-18T00:00:00.000Z</x:v>
      </x:c>
      <x:c r="B23" s="18" t="n">
        <x:v>1023</x:v>
      </x:c>
      <x:c r="C23" s="18" t="n">
        <x:v>1008</x:v>
      </x:c>
      <x:c r="D23" s="18" t="n">
        <x:v>15</x:v>
      </x:c>
      <x:c r="E23" s="18" t="n">
        <x:v>17280</x:v>
      </x:c>
      <x:c r="F23" s="18" t="n">
        <x:v>17144</x:v>
      </x:c>
      <x:c r="G23" s="19" t="n">
        <x:v>23.198898</x:v>
      </x:c>
      <x:c r="H23" s="19" t="n">
        <x:v>25.349999999999998</x:v>
      </x:c>
      <x:c r="I23" s="19" t="n">
        <x:v>324.9938492063492</x:v>
      </x:c>
      <x:c r="J23" s="20" t="n">
        <x:f>IF(B23=0,"n.a.",C23/B23)</x:f>
        <x:v>0.9853372434017595</x:v>
      </x:c>
      <x:c r="K23" s="20" t="n">
        <x:f>IF(E23=0,"n.a.",F23/E23)</x:f>
        <x:v>0.9921296296296296</x:v>
      </x:c>
      <x:c r="L23" s="19" t="n">
        <x:f>H23-G23</x:f>
        <x:v>2.151101999999998</x:v>
      </x:c>
      <x:c r="M23" s="19" t="n">
        <x:f>L23*Settings!$B$7</x:f>
        <x:v>17.208815999999985</x:v>
      </x:c>
      <x:c r="N23" s="2"/>
    </x:row>
    <x:row r="24" ht="23" customHeight="1">
      <x:c r="A24" s="17" t="d">
        <x:v>2026-07-19T00:00:00.000Z</x:v>
      </x:c>
      <x:c r="B24" s="18" t="n">
        <x:v>1020</x:v>
      </x:c>
      <x:c r="C24" s="18" t="n">
        <x:v>1006</x:v>
      </x:c>
      <x:c r="D24" s="18" t="n">
        <x:v>14</x:v>
      </x:c>
      <x:c r="E24" s="18" t="n">
        <x:v>17280</x:v>
      </x:c>
      <x:c r="F24" s="18" t="n">
        <x:v>17139</x:v>
      </x:c>
      <x:c r="G24" s="19" t="n">
        <x:v>23.290093</x:v>
      </x:c>
      <x:c r="H24" s="19" t="n">
        <x:v>25.349999999999998</x:v>
      </x:c>
      <x:c r="I24" s="19" t="n">
        <x:v>314.2258449304175</x:v>
      </x:c>
      <x:c r="J24" s="20" t="n">
        <x:f>IF(B24=0,"n.a.",C24/B24)</x:f>
        <x:v>0.9862745098039216</x:v>
      </x:c>
      <x:c r="K24" s="20" t="n">
        <x:f>IF(E24=0,"n.a.",F24/E24)</x:f>
        <x:v>0.9918402777777777</x:v>
      </x:c>
      <x:c r="L24" s="19" t="n">
        <x:f>H24-G24</x:f>
        <x:v>2.059906999999999</x:v>
      </x:c>
      <x:c r="M24" s="19" t="n">
        <x:f>L24*Settings!$B$7</x:f>
        <x:v>16.479255999999992</x:v>
      </x:c>
      <x:c r="N24" s="2"/>
    </x:row>
    <x:row r="25" ht="23" customHeight="1">
      <x:c r="A25" s="17" t="d">
        <x:v>2026-07-20T00:00:00.000Z</x:v>
      </x:c>
      <x:c r="B25" s="18" t="n">
        <x:v>1040</x:v>
      </x:c>
      <x:c r="C25" s="18" t="n">
        <x:v>1026</x:v>
      </x:c>
      <x:c r="D25" s="18" t="n">
        <x:v>14</x:v>
      </x:c>
      <x:c r="E25" s="18" t="n">
        <x:v>17280</x:v>
      </x:c>
      <x:c r="F25" s="18" t="n">
        <x:v>17158</x:v>
      </x:c>
      <x:c r="G25" s="19" t="n">
        <x:v>23.11762</x:v>
      </x:c>
      <x:c r="H25" s="19" t="n">
        <x:v>25.349999999999998</x:v>
      </x:c>
      <x:c r="I25" s="19" t="n">
        <x:v>321.1380116959064</x:v>
      </x:c>
      <x:c r="J25" s="20" t="n">
        <x:f>IF(B25=0,"n.a.",C25/B25)</x:f>
        <x:v>0.9865384615384616</x:v>
      </x:c>
      <x:c r="K25" s="20" t="n">
        <x:f>IF(E25=0,"n.a.",F25/E25)</x:f>
        <x:v>0.9929398148148149</x:v>
      </x:c>
      <x:c r="L25" s="19" t="n">
        <x:f>H25-G25</x:f>
        <x:v>2.232379999999999</x:v>
      </x:c>
      <x:c r="M25" s="19" t="n">
        <x:f>L25*Settings!$B$7</x:f>
        <x:v>17.859039999999993</x:v>
      </x:c>
      <x:c r="N25" s="2"/>
    </x:row>
    <x:row r="26" ht="23" customHeight="1">
      <x:c r="A26" s="17" t="d">
        <x:v>2026-07-21T00:00:00.000Z</x:v>
      </x:c>
      <x:c r="B26" s="18" t="n">
        <x:v>1050</x:v>
      </x:c>
      <x:c r="C26" s="18" t="n">
        <x:v>1037</x:v>
      </x:c>
      <x:c r="D26" s="18" t="n">
        <x:v>13</x:v>
      </x:c>
      <x:c r="E26" s="18" t="n">
        <x:v>17280</x:v>
      </x:c>
      <x:c r="F26" s="18" t="n">
        <x:v>17143</x:v>
      </x:c>
      <x:c r="G26" s="19" t="n">
        <x:v>23.483327</x:v>
      </x:c>
      <x:c r="H26" s="19" t="n">
        <x:v>25.349999999999998</x:v>
      </x:c>
      <x:c r="I26" s="19" t="n">
        <x:v>312.90511089681775</x:v>
      </x:c>
      <x:c r="J26" s="20" t="n">
        <x:f>IF(B26=0,"n.a.",C26/B26)</x:f>
        <x:v>0.9876190476190476</x:v>
      </x:c>
      <x:c r="K26" s="20" t="n">
        <x:f>IF(E26=0,"n.a.",F26/E26)</x:f>
        <x:v>0.9920717592592593</x:v>
      </x:c>
      <x:c r="L26" s="19" t="n">
        <x:f>H26-G26</x:f>
        <x:v>1.8666729999999987</x:v>
      </x:c>
      <x:c r="M26" s="19" t="n">
        <x:f>L26*Settings!$B$7</x:f>
        <x:v>14.93338399999999</x:v>
      </x:c>
      <x:c r="N26" s="2"/>
    </x:row>
    <x:row r="27" ht="23" customHeight="1">
      <x:c r="A27" s="17" t="d">
        <x:v>2026-07-22T00:00:00.000Z</x:v>
      </x:c>
      <x:c r="B27" s="18" t="n">
        <x:v>1010</x:v>
      </x:c>
      <x:c r="C27" s="18" t="n">
        <x:v>989</x:v>
      </x:c>
      <x:c r="D27" s="18" t="n">
        <x:v>21</x:v>
      </x:c>
      <x:c r="E27" s="18" t="n">
        <x:v>17280</x:v>
      </x:c>
      <x:c r="F27" s="18" t="n">
        <x:v>17161</x:v>
      </x:c>
      <x:c r="G27" s="19" t="n">
        <x:v>23.327644</x:v>
      </x:c>
      <x:c r="H27" s="19" t="n">
        <x:v>25.349999999999998</x:v>
      </x:c>
      <x:c r="I27" s="19" t="n">
        <x:v>310.9681496461072</x:v>
      </x:c>
      <x:c r="J27" s="20" t="n">
        <x:f>IF(B27=0,"n.a.",C27/B27)</x:f>
        <x:v>0.9792079207920792</x:v>
      </x:c>
      <x:c r="K27" s="20" t="n">
        <x:f>IF(E27=0,"n.a.",F27/E27)</x:f>
        <x:v>0.9931134259259259</x:v>
      </x:c>
      <x:c r="L27" s="19" t="n">
        <x:f>H27-G27</x:f>
        <x:v>2.0223559999999985</x:v>
      </x:c>
      <x:c r="M27" s="19" t="n">
        <x:f>L27*Settings!$B$7</x:f>
        <x:v>16.178847999999988</x:v>
      </x:c>
      <x:c r="N27" s="2"/>
    </x:row>
    <x:row r="28" ht="23" customHeight="1">
      <x:c r="A28" s="17" t="d">
        <x:v>2026-07-23T00:00:00.000Z</x:v>
      </x:c>
      <x:c r="B28" s="18" t="n">
        <x:v>961</x:v>
      </x:c>
      <x:c r="C28" s="18" t="n">
        <x:v>949</x:v>
      </x:c>
      <x:c r="D28" s="18" t="n">
        <x:v>12</x:v>
      </x:c>
      <x:c r="E28" s="18" t="n">
        <x:v>17280</x:v>
      </x:c>
      <x:c r="F28" s="18" t="n">
        <x:v>17156</x:v>
      </x:c>
      <x:c r="G28" s="19" t="n">
        <x:v>23.138646</x:v>
      </x:c>
      <x:c r="H28" s="19" t="n">
        <x:v>25.349999999999998</x:v>
      </x:c>
      <x:c r="I28" s="19" t="n">
        <x:v>318.7964172813488</x:v>
      </x:c>
      <x:c r="J28" s="20" t="n">
        <x:f>IF(B28=0,"n.a.",C28/B28)</x:f>
        <x:v>0.9875130072840791</x:v>
      </x:c>
      <x:c r="K28" s="20" t="n">
        <x:f>IF(E28=0,"n.a.",F28/E28)</x:f>
        <x:v>0.992824074074074</x:v>
      </x:c>
      <x:c r="L28" s="19" t="n">
        <x:f>H28-G28</x:f>
        <x:v>2.2113539999999965</x:v>
      </x:c>
      <x:c r="M28" s="19" t="n">
        <x:f>L28*Settings!$B$7</x:f>
        <x:v>17.690831999999972</x:v>
      </x:c>
      <x:c r="N28" s="2"/>
    </x:row>
    <x:row r="29" ht="23" customHeight="1">
      <x:c r="A29" s="17" t="d">
        <x:v>2026-07-24T00:00:00.000Z</x:v>
      </x:c>
      <x:c r="B29" s="18" t="n">
        <x:v>1034</x:v>
      </x:c>
      <x:c r="C29" s="18" t="n">
        <x:v>1021</x:v>
      </x:c>
      <x:c r="D29" s="18" t="n">
        <x:v>13</x:v>
      </x:c>
      <x:c r="E29" s="18" t="n">
        <x:v>17280</x:v>
      </x:c>
      <x:c r="F29" s="18" t="n">
        <x:v>17156</x:v>
      </x:c>
      <x:c r="G29" s="19" t="n">
        <x:v>23.197145</x:v>
      </x:c>
      <x:c r="H29" s="19" t="n">
        <x:v>25.349999999999998</x:v>
      </x:c>
      <x:c r="I29" s="19" t="n">
        <x:v>319.466013712047</x:v>
      </x:c>
      <x:c r="J29" s="20" t="n">
        <x:f>IF(B29=0,"n.a.",C29/B29)</x:f>
        <x:v>0.9874274661508704</x:v>
      </x:c>
      <x:c r="K29" s="20" t="n">
        <x:f>IF(E29=0,"n.a.",F29/E29)</x:f>
        <x:v>0.992824074074074</x:v>
      </x:c>
      <x:c r="L29" s="19" t="n">
        <x:f>H29-G29</x:f>
        <x:v>2.152854999999999</x:v>
      </x:c>
      <x:c r="M29" s="19" t="n">
        <x:f>L29*Settings!$B$7</x:f>
        <x:v>17.22283999999999</x:v>
      </x:c>
      <x:c r="N29" s="2"/>
    </x:row>
    <x:row r="30" ht="23" customHeight="1">
      <x:c r="A30" s="17" t="d">
        <x:v>2026-07-25T00:00:00.000Z</x:v>
      </x:c>
      <x:c r="B30" s="18" t="n">
        <x:v>1030</x:v>
      </x:c>
      <x:c r="C30" s="18" t="n">
        <x:v>1015</x:v>
      </x:c>
      <x:c r="D30" s="18" t="n">
        <x:v>15</x:v>
      </x:c>
      <x:c r="E30" s="18" t="n">
        <x:v>17280</x:v>
      </x:c>
      <x:c r="F30" s="18" t="n">
        <x:v>17152</x:v>
      </x:c>
      <x:c r="G30" s="19" t="n">
        <x:v>22.79352</x:v>
      </x:c>
      <x:c r="H30" s="19" t="n">
        <x:v>25.349999999999998</x:v>
      </x:c>
      <x:c r="I30" s="19" t="n">
        <x:v>310.8902463054187</x:v>
      </x:c>
      <x:c r="J30" s="20" t="n">
        <x:f>IF(B30=0,"n.a.",C30/B30)</x:f>
        <x:v>0.9854368932038835</x:v>
      </x:c>
      <x:c r="K30" s="20" t="n">
        <x:f>IF(E30=0,"n.a.",F30/E30)</x:f>
        <x:v>0.9925925925925926</x:v>
      </x:c>
      <x:c r="L30" s="19" t="n">
        <x:f>H30-G30</x:f>
        <x:v>2.556479999999997</x:v>
      </x:c>
      <x:c r="M30" s="19" t="n">
        <x:f>L30*Settings!$B$7</x:f>
        <x:v>20.451839999999976</x:v>
      </x:c>
      <x:c r="N30" s="2"/>
    </x:row>
    <x:row r="31" ht="23" customHeight="1">
      <x:c r="A31" s="17" t="d">
        <x:v>2026-07-26T00:00:00.000Z</x:v>
      </x:c>
      <x:c r="B31" s="18" t="n">
        <x:v>1042</x:v>
      </x:c>
      <x:c r="C31" s="18" t="n">
        <x:v>1026</x:v>
      </x:c>
      <x:c r="D31" s="18" t="n">
        <x:v>16</x:v>
      </x:c>
      <x:c r="E31" s="18" t="n">
        <x:v>17280</x:v>
      </x:c>
      <x:c r="F31" s="18" t="n">
        <x:v>17156</x:v>
      </x:c>
      <x:c r="G31" s="19" t="n">
        <x:v>23.230361</x:v>
      </x:c>
      <x:c r="H31" s="19" t="n">
        <x:v>25.349999999999998</x:v>
      </x:c>
      <x:c r="I31" s="19" t="n">
        <x:v>319.84668615984407</x:v>
      </x:c>
      <x:c r="J31" s="20" t="n">
        <x:f>IF(B31=0,"n.a.",C31/B31)</x:f>
        <x:v>0.9846449136276392</x:v>
      </x:c>
      <x:c r="K31" s="20" t="n">
        <x:f>IF(E31=0,"n.a.",F31/E31)</x:f>
        <x:v>0.992824074074074</x:v>
      </x:c>
      <x:c r="L31" s="19" t="n">
        <x:f>H31-G31</x:f>
        <x:v>2.1196389999999994</x:v>
      </x:c>
      <x:c r="M31" s="19" t="n">
        <x:f>L31*Settings!$B$7</x:f>
        <x:v>16.957111999999995</x:v>
      </x:c>
      <x:c r="N31" s="2"/>
    </x:row>
    <x:row r="32" ht="23" customHeight="1">
      <x:c r="A32" s="17" t="d">
        <x:v>2026-07-27T00:00:00.000Z</x:v>
      </x:c>
      <x:c r="B32" s="18" t="n">
        <x:v>1017</x:v>
      </x:c>
      <x:c r="C32" s="18" t="n">
        <x:v>999</x:v>
      </x:c>
      <x:c r="D32" s="18" t="n">
        <x:v>18</x:v>
      </x:c>
      <x:c r="E32" s="18" t="n">
        <x:v>17280</x:v>
      </x:c>
      <x:c r="F32" s="18" t="n">
        <x:v>17141</x:v>
      </x:c>
      <x:c r="G32" s="19" t="n">
        <x:v>23.313733</x:v>
      </x:c>
      <x:c r="H32" s="19" t="n">
        <x:v>25.349999999999998</x:v>
      </x:c>
      <x:c r="I32" s="19" t="n">
        <x:v>308.27027027027026</x:v>
      </x:c>
      <x:c r="J32" s="20" t="n">
        <x:f>IF(B32=0,"n.a.",C32/B32)</x:f>
        <x:v>0.9823008849557522</x:v>
      </x:c>
      <x:c r="K32" s="20" t="n">
        <x:f>IF(E32=0,"n.a.",F32/E32)</x:f>
        <x:v>0.9919560185185186</x:v>
      </x:c>
      <x:c r="L32" s="19" t="n">
        <x:f>H32-G32</x:f>
        <x:v>2.0362669999999987</x:v>
      </x:c>
      <x:c r="M32" s="19" t="n">
        <x:f>L32*Settings!$B$7</x:f>
        <x:v>16.29013599999999</x:v>
      </x:c>
      <x:c r="N32" s="2"/>
    </x:row>
    <x:row r="33" ht="23" customHeight="1">
      <x:c r="A33" s="17" t="d">
        <x:v>2026-07-28T00:00:00.000Z</x:v>
      </x:c>
      <x:c r="B33" s="18" t="n">
        <x:v>1040</x:v>
      </x:c>
      <x:c r="C33" s="18" t="n">
        <x:v>1025</x:v>
      </x:c>
      <x:c r="D33" s="18" t="n">
        <x:v>15</x:v>
      </x:c>
      <x:c r="E33" s="18" t="n">
        <x:v>17280</x:v>
      </x:c>
      <x:c r="F33" s="18" t="n">
        <x:v>17156</x:v>
      </x:c>
      <x:c r="G33" s="19" t="n">
        <x:v>22.994693</x:v>
      </x:c>
      <x:c r="H33" s="19" t="n">
        <x:v>25.349999999999998</x:v>
      </x:c>
      <x:c r="I33" s="19" t="n">
        <x:v>318.8819512195122</x:v>
      </x:c>
      <x:c r="J33" s="20" t="n">
        <x:f>IF(B33=0,"n.a.",C33/B33)</x:f>
        <x:v>0.9855769230769231</x:v>
      </x:c>
      <x:c r="K33" s="20" t="n">
        <x:f>IF(E33=0,"n.a.",F33/E33)</x:f>
        <x:v>0.992824074074074</x:v>
      </x:c>
      <x:c r="L33" s="19" t="n">
        <x:f>H33-G33</x:f>
        <x:v>2.3553069999999963</x:v>
      </x:c>
      <x:c r="M33" s="19" t="n">
        <x:f>L33*Settings!$B$7</x:f>
        <x:v>18.84245599999997</x:v>
      </x:c>
      <x:c r="N33" s="2"/>
    </x:row>
    <x:row r="34" ht="23" customHeight="1">
      <x:c r="A34" s="17" t="d">
        <x:v>2026-07-29T00:00:00.000Z</x:v>
      </x:c>
      <x:c r="B34" s="18" t="n">
        <x:v>1012</x:v>
      </x:c>
      <x:c r="C34" s="18" t="n">
        <x:v>999</x:v>
      </x:c>
      <x:c r="D34" s="18" t="n">
        <x:v>13</x:v>
      </x:c>
      <x:c r="E34" s="18" t="n">
        <x:v>17280</x:v>
      </x:c>
      <x:c r="F34" s="18" t="n">
        <x:v>17139</x:v>
      </x:c>
      <x:c r="G34" s="19" t="n">
        <x:v>23.333532</x:v>
      </x:c>
      <x:c r="H34" s="19" t="n">
        <x:v>25.349999999999998</x:v>
      </x:c>
      <x:c r="I34" s="19" t="n">
        <x:v>311.2681681681682</x:v>
      </x:c>
      <x:c r="J34" s="20" t="n">
        <x:f>IF(B34=0,"n.a.",C34/B34)</x:f>
        <x:v>0.9871541501976284</x:v>
      </x:c>
      <x:c r="K34" s="20" t="n">
        <x:f>IF(E34=0,"n.a.",F34/E34)</x:f>
        <x:v>0.9918402777777777</x:v>
      </x:c>
      <x:c r="L34" s="19" t="n">
        <x:f>H34-G34</x:f>
        <x:v>2.016467999999996</x:v>
      </x:c>
      <x:c r="M34" s="19" t="n">
        <x:f>L34*Settings!$B$7</x:f>
        <x:v>16.13174399999997</x:v>
      </x:c>
      <x:c r="N34" s="2"/>
    </x:row>
    <x:row r="35" ht="23" customHeight="1">
      <x:c r="A35" s="17" t="d">
        <x:v>2026-07-30T00:00:00.000Z</x:v>
      </x:c>
      <x:c r="B35" s="18" t="n">
        <x:v>995</x:v>
      </x:c>
      <x:c r="C35" s="18" t="n">
        <x:v>979</x:v>
      </x:c>
      <x:c r="D35" s="18" t="n">
        <x:v>16</x:v>
      </x:c>
      <x:c r="E35" s="18" t="n">
        <x:v>17280</x:v>
      </x:c>
      <x:c r="F35" s="18" t="n">
        <x:v>17159</x:v>
      </x:c>
      <x:c r="G35" s="19" t="n">
        <x:v>23.081099000000002</x:v>
      </x:c>
      <x:c r="H35" s="19" t="n">
        <x:v>25.349999999999998</x:v>
      </x:c>
      <x:c r="I35" s="19" t="n">
        <x:v>309.141062308478</x:v>
      </x:c>
      <x:c r="J35" s="20" t="n">
        <x:f>IF(B35=0,"n.a.",C35/B35)</x:f>
        <x:v>0.9839195979899498</x:v>
      </x:c>
      <x:c r="K35" s="20" t="n">
        <x:f>IF(E35=0,"n.a.",F35/E35)</x:f>
        <x:v>0.9929976851851852</x:v>
      </x:c>
      <x:c r="L35" s="19" t="n">
        <x:f>H35-G35</x:f>
        <x:v>2.268900999999996</x:v>
      </x:c>
      <x:c r="M35" s="19" t="n">
        <x:f>L35*Settings!$B$7</x:f>
        <x:v>18.15120799999997</x:v>
      </x:c>
      <x:c r="N35" s="2"/>
    </x:row>
    <x:row r="36" ht="23" customHeight="1">
      <x:c r="A36" s="17" t="d">
        <x:v>2026-07-31T00:00:00.000Z</x:v>
      </x:c>
      <x:c r="B36" s="18" t="n">
        <x:v>1030</x:v>
      </x:c>
      <x:c r="C36" s="18" t="n">
        <x:v>1016</x:v>
      </x:c>
      <x:c r="D36" s="18" t="n">
        <x:v>14</x:v>
      </x:c>
      <x:c r="E36" s="18" t="n">
        <x:v>17280</x:v>
      </x:c>
      <x:c r="F36" s="18" t="n">
        <x:v>17165</x:v>
      </x:c>
      <x:c r="G36" s="19" t="n">
        <x:v>22.850337</x:v>
      </x:c>
      <x:c r="H36" s="19" t="n">
        <x:v>25.349999999999998</x:v>
      </x:c>
      <x:c r="I36" s="19" t="n">
        <x:v>322.9117125984252</x:v>
      </x:c>
      <x:c r="J36" s="20" t="n">
        <x:f>IF(B36=0,"n.a.",C36/B36)</x:f>
        <x:v>0.9864077669902913</x:v>
      </x:c>
      <x:c r="K36" s="20" t="n">
        <x:f>IF(E36=0,"n.a.",F36/E36)</x:f>
        <x:v>0.9933449074074074</x:v>
      </x:c>
      <x:c r="L36" s="19" t="n">
        <x:f>H36-G36</x:f>
        <x:v>2.499662999999998</x:v>
      </x:c>
      <x:c r="M36" s="19" t="n">
        <x:f>L36*Settings!$B$7</x:f>
        <x:v>19.997303999999986</x:v>
      </x:c>
      <x:c r="N36" s="2"/>
    </x:row>
    <x:row r="37" ht="23" customHeight="1">
      <x:c r="A37" s="17" t="d">
        <x:v>2026-08-01T00:00:00.000Z</x:v>
      </x:c>
      <x:c r="B37" s="18" t="n">
        <x:v>965</x:v>
      </x:c>
      <x:c r="C37" s="18" t="n">
        <x:v>933</x:v>
      </x:c>
      <x:c r="D37" s="18" t="n">
        <x:v>32</x:v>
      </x:c>
      <x:c r="E37" s="18" t="n">
        <x:v>17280</x:v>
      </x:c>
      <x:c r="F37" s="18" t="n">
        <x:v>16865</x:v>
      </x:c>
      <x:c r="G37" s="19" t="n">
        <x:v>23.249136</x:v>
      </x:c>
      <x:c r="H37" s="19" t="n">
        <x:v>25.349999999999998</x:v>
      </x:c>
      <x:c r="I37" s="19" t="n">
        <x:v>307.2828510182208</x:v>
      </x:c>
      <x:c r="J37" s="20" t="n">
        <x:f>IF(B37=0,"n.a.",C37/B37)</x:f>
        <x:v>0.966839378238342</x:v>
      </x:c>
      <x:c r="K37" s="20" t="n">
        <x:f>IF(E37=0,"n.a.",F37/E37)</x:f>
        <x:v>0.9759837962962963</x:v>
      </x:c>
      <x:c r="L37" s="19" t="n">
        <x:f>H37-G37</x:f>
        <x:v>2.100863999999998</x:v>
      </x:c>
      <x:c r="M37" s="19" t="n">
        <x:f>L37*Settings!$B$7</x:f>
        <x:v>16.806911999999983</x:v>
      </x:c>
      <x:c r="N37" s="2"/>
    </x:row>
    <x:row r="38" ht="23" customHeight="1">
      <x:c r="A38" s="17" t="d">
        <x:v>2026-08-02T00:00:00.000Z</x:v>
      </x:c>
      <x:c r="B38" s="18" t="n">
        <x:v>1042</x:v>
      </x:c>
      <x:c r="C38" s="18" t="n">
        <x:v>1030</x:v>
      </x:c>
      <x:c r="D38" s="18" t="n">
        <x:v>12</x:v>
      </x:c>
      <x:c r="E38" s="18" t="n">
        <x:v>17280</x:v>
      </x:c>
      <x:c r="F38" s="18" t="n">
        <x:v>17143</x:v>
      </x:c>
      <x:c r="G38" s="19" t="n">
        <x:v>23.196381</x:v>
      </x:c>
      <x:c r="H38" s="19" t="n">
        <x:v>25.349999999999998</x:v>
      </x:c>
      <x:c r="I38" s="19" t="n">
        <x:v>312.3345631067961</x:v>
      </x:c>
      <x:c r="J38" s="20" t="n">
        <x:f>IF(B38=0,"n.a.",C38/B38)</x:f>
        <x:v>0.9884836852207294</x:v>
      </x:c>
      <x:c r="K38" s="20" t="n">
        <x:f>IF(E38=0,"n.a.",F38/E38)</x:f>
        <x:v>0.9920717592592593</x:v>
      </x:c>
      <x:c r="L38" s="19" t="n">
        <x:f>H38-G38</x:f>
        <x:v>2.153618999999999</x:v>
      </x:c>
      <x:c r="M38" s="19" t="n">
        <x:f>L38*Settings!$B$7</x:f>
        <x:v>17.228951999999992</x:v>
      </x:c>
      <x:c r="N38" s="2"/>
    </x:row>
    <x:row r="39" ht="23" customHeight="1">
      <x:c r="A39" s="17" t="d">
        <x:v>2026-08-03T00:00:00.000Z</x:v>
      </x:c>
      <x:c r="B39" s="18" t="n">
        <x:v>1048</x:v>
      </x:c>
      <x:c r="C39" s="18" t="n">
        <x:v>1033</x:v>
      </x:c>
      <x:c r="D39" s="18" t="n">
        <x:v>15</x:v>
      </x:c>
      <x:c r="E39" s="18" t="n">
        <x:v>17280</x:v>
      </x:c>
      <x:c r="F39" s="18" t="n">
        <x:v>17135</x:v>
      </x:c>
      <x:c r="G39" s="19" t="n">
        <x:v>23.054942</x:v>
      </x:c>
      <x:c r="H39" s="19" t="n">
        <x:v>25.349999999999998</x:v>
      </x:c>
      <x:c r="I39" s="19" t="n">
        <x:v>316.588770571152</x:v>
      </x:c>
      <x:c r="J39" s="20" t="n">
        <x:f>IF(B39=0,"n.a.",C39/B39)</x:f>
        <x:v>0.9856870229007634</x:v>
      </x:c>
      <x:c r="K39" s="20" t="n">
        <x:f>IF(E39=0,"n.a.",F39/E39)</x:f>
        <x:v>0.9916087962962963</x:v>
      </x:c>
      <x:c r="L39" s="19" t="n">
        <x:f>H39-G39</x:f>
        <x:v>2.2950579999999974</x:v>
      </x:c>
      <x:c r="M39" s="19" t="n">
        <x:f>L39*Settings!$B$7</x:f>
        <x:v>18.36046399999998</x:v>
      </x:c>
      <x:c r="N39" s="2"/>
    </x:row>
    <x:row r="40" ht="23" customHeight="1">
      <x:c r="A40" s="17" t="d">
        <x:v>2026-08-04T00:00:00.000Z</x:v>
      </x:c>
      <x:c r="B40" s="18" t="n">
        <x:v>1078</x:v>
      </x:c>
      <x:c r="C40" s="18" t="n">
        <x:v>1063</x:v>
      </x:c>
      <x:c r="D40" s="18" t="n">
        <x:v>15</x:v>
      </x:c>
      <x:c r="E40" s="18" t="n">
        <x:v>17280</x:v>
      </x:c>
      <x:c r="F40" s="18" t="n">
        <x:v>17148</x:v>
      </x:c>
      <x:c r="G40" s="19" t="n">
        <x:v>23.453645</x:v>
      </x:c>
      <x:c r="H40" s="19" t="n">
        <x:v>25.349999999999998</x:v>
      </x:c>
      <x:c r="I40" s="19" t="n">
        <x:v>307.7659454374412</x:v>
      </x:c>
      <x:c r="J40" s="20" t="n">
        <x:f>IF(B40=0,"n.a.",C40/B40)</x:f>
        <x:v>0.9860853432282004</x:v>
      </x:c>
      <x:c r="K40" s="20" t="n">
        <x:f>IF(E40=0,"n.a.",F40/E40)</x:f>
        <x:v>0.9923611111111111</x:v>
      </x:c>
      <x:c r="L40" s="19" t="n">
        <x:f>H40-G40</x:f>
        <x:v>1.8963549999999962</x:v>
      </x:c>
      <x:c r="M40" s="19" t="n">
        <x:f>L40*Settings!$B$7</x:f>
        <x:v>15.17083999999997</x:v>
      </x:c>
      <x:c r="N40" s="2"/>
    </x:row>
    <x:row r="41" ht="23" customHeight="1">
      <x:c r="A41" s="17" t="d">
        <x:v>2026-08-05T00:00:00.000Z</x:v>
      </x:c>
      <x:c r="B41" s="18" t="n">
        <x:v>1002</x:v>
      </x:c>
      <x:c r="C41" s="18" t="n">
        <x:v>992</x:v>
      </x:c>
      <x:c r="D41" s="18" t="n">
        <x:v>10</x:v>
      </x:c>
      <x:c r="E41" s="18" t="n">
        <x:v>17280</x:v>
      </x:c>
      <x:c r="F41" s="18" t="n">
        <x:v>17152</x:v>
      </x:c>
      <x:c r="G41" s="19" t="n">
        <x:v>23.374091</x:v>
      </x:c>
      <x:c r="H41" s="19" t="n">
        <x:v>25.349999999999998</x:v>
      </x:c>
      <x:c r="I41" s="19" t="n">
        <x:v>305.48941532258067</x:v>
      </x:c>
      <x:c r="J41" s="20" t="n">
        <x:f>IF(B41=0,"n.a.",C41/B41)</x:f>
        <x:v>0.9900199600798403</x:v>
      </x:c>
      <x:c r="K41" s="20" t="n">
        <x:f>IF(E41=0,"n.a.",F41/E41)</x:f>
        <x:v>0.9925925925925926</x:v>
      </x:c>
      <x:c r="L41" s="19" t="n">
        <x:f>H41-G41</x:f>
        <x:v>1.975908999999998</x:v>
      </x:c>
      <x:c r="M41" s="19" t="n">
        <x:f>L41*Settings!$B$7</x:f>
        <x:v>15.807271999999983</x:v>
      </x:c>
      <x:c r="N41" s="2"/>
    </x:row>
    <x:row r="42" ht="23" customHeight="1">
      <x:c r="A42" s="17" t="d">
        <x:v>2026-08-06T00:00:00.000Z</x:v>
      </x:c>
      <x:c r="B42" s="18" t="n">
        <x:v>1058</x:v>
      </x:c>
      <x:c r="C42" s="18" t="n">
        <x:v>1039</x:v>
      </x:c>
      <x:c r="D42" s="18" t="n">
        <x:v>19</x:v>
      </x:c>
      <x:c r="E42" s="18" t="n">
        <x:v>17280</x:v>
      </x:c>
      <x:c r="F42" s="18" t="n">
        <x:v>17145</x:v>
      </x:c>
      <x:c r="G42" s="19" t="n">
        <x:v>23.395159</x:v>
      </x:c>
      <x:c r="H42" s="19" t="n">
        <x:v>25.349999999999998</x:v>
      </x:c>
      <x:c r="I42" s="19" t="n">
        <x:v>318.68046198267564</x:v>
      </x:c>
      <x:c r="J42" s="20" t="n">
        <x:f>IF(B42=0,"n.a.",C42/B42)</x:f>
        <x:v>0.9820415879017014</x:v>
      </x:c>
      <x:c r="K42" s="20" t="n">
        <x:f>IF(E42=0,"n.a.",F42/E42)</x:f>
        <x:v>0.9921875</x:v>
      </x:c>
      <x:c r="L42" s="19" t="n">
        <x:f>H42-G42</x:f>
        <x:v>1.9548409999999983</x:v>
      </x:c>
      <x:c r="M42" s="19" t="n">
        <x:f>L42*Settings!$B$7</x:f>
        <x:v>15.638727999999986</x:v>
      </x:c>
      <x:c r="N42" s="2"/>
    </x:row>
    <x:row r="43" ht="23" customHeight="1">
      <x:c r="A43" s="17" t="d">
        <x:v>2026-08-07T00:00:00.000Z</x:v>
      </x:c>
      <x:c r="B43" s="18" t="n">
        <x:v>1026</x:v>
      </x:c>
      <x:c r="C43" s="18" t="n">
        <x:v>987</x:v>
      </x:c>
      <x:c r="D43" s="18" t="n">
        <x:v>39</x:v>
      </x:c>
      <x:c r="E43" s="18" t="n">
        <x:v>17280</x:v>
      </x:c>
      <x:c r="F43" s="18" t="n">
        <x:v>17150</x:v>
      </x:c>
      <x:c r="G43" s="19" t="n">
        <x:v>22.936321</x:v>
      </x:c>
      <x:c r="H43" s="19" t="n">
        <x:v>25.349999999999998</x:v>
      </x:c>
      <x:c r="I43" s="19" t="n">
        <x:v>397.68328267477204</x:v>
      </x:c>
      <x:c r="J43" s="20" t="n">
        <x:f>IF(B43=0,"n.a.",C43/B43)</x:f>
        <x:v>0.9619883040935673</x:v>
      </x:c>
      <x:c r="K43" s="20" t="n">
        <x:f>IF(E43=0,"n.a.",F43/E43)</x:f>
        <x:v>0.9924768518518519</x:v>
      </x:c>
      <x:c r="L43" s="19" t="n">
        <x:f>H43-G43</x:f>
        <x:v>2.4136789999999984</x:v>
      </x:c>
      <x:c r="M43" s="19" t="n">
        <x:f>L43*Settings!$B$7</x:f>
        <x:v>19.309431999999987</x:v>
      </x:c>
      <x:c r="N43" s="2"/>
    </x:row>
    <x:row r="44" ht="23" customHeight="1">
      <x:c r="A44" s="17" t="d">
        <x:v>2026-08-08T00:00:00.000Z</x:v>
      </x:c>
      <x:c r="B44" s="18" t="n">
        <x:v>1010</x:v>
      </x:c>
      <x:c r="C44" s="18" t="n">
        <x:v>976</x:v>
      </x:c>
      <x:c r="D44" s="18" t="n">
        <x:v>34</x:v>
      </x:c>
      <x:c r="E44" s="18" t="n">
        <x:v>17280</x:v>
      </x:c>
      <x:c r="F44" s="18" t="n">
        <x:v>17163</x:v>
      </x:c>
      <x:c r="G44" s="19" t="n">
        <x:v>23.146814</x:v>
      </x:c>
      <x:c r="H44" s="19" t="n">
        <x:v>25.349999999999998</x:v>
      </x:c>
      <x:c r="I44" s="19" t="n">
        <x:v>390.1879098360656</x:v>
      </x:c>
      <x:c r="J44" s="20" t="n">
        <x:f>IF(B44=0,"n.a.",C44/B44)</x:f>
        <x:v>0.9663366336633663</x:v>
      </x:c>
      <x:c r="K44" s="20" t="n">
        <x:f>IF(E44=0,"n.a.",F44/E44)</x:f>
        <x:v>0.9932291666666667</x:v>
      </x:c>
      <x:c r="L44" s="19" t="n">
        <x:f>H44-G44</x:f>
        <x:v>2.2031859999999988</x:v>
      </x:c>
      <x:c r="M44" s="19" t="n">
        <x:f>L44*Settings!$B$7</x:f>
        <x:v>17.62548799999999</x:v>
      </x:c>
      <x:c r="N44" s="2"/>
    </x:row>
    <x:row r="45" ht="23" customHeight="1">
      <x:c r="A45" s="17" t="d">
        <x:v>2026-08-09T00:00:00.000Z</x:v>
      </x:c>
      <x:c r="B45" s="18" t="n">
        <x:v>1034</x:v>
      </x:c>
      <x:c r="C45" s="18" t="n">
        <x:v>998</x:v>
      </x:c>
      <x:c r="D45" s="18" t="n">
        <x:v>36</x:v>
      </x:c>
      <x:c r="E45" s="18" t="n">
        <x:v>17280</x:v>
      </x:c>
      <x:c r="F45" s="18" t="n">
        <x:v>17161</x:v>
      </x:c>
      <x:c r="G45" s="19" t="n">
        <x:v>22.973238</x:v>
      </x:c>
      <x:c r="H45" s="19" t="n">
        <x:v>25.349999999999998</x:v>
      </x:c>
      <x:c r="I45" s="19" t="n">
        <x:v>395.11903807615226</x:v>
      </x:c>
      <x:c r="J45" s="20" t="n">
        <x:f>IF(B45=0,"n.a.",C45/B45)</x:f>
        <x:v>0.965183752417795</x:v>
      </x:c>
      <x:c r="K45" s="20" t="n">
        <x:f>IF(E45=0,"n.a.",F45/E45)</x:f>
        <x:v>0.9931134259259259</x:v>
      </x:c>
      <x:c r="L45" s="19" t="n">
        <x:f>H45-G45</x:f>
        <x:v>2.3767619999999994</x:v>
      </x:c>
      <x:c r="M45" s="19" t="n">
        <x:f>L45*Settings!$B$7</x:f>
        <x:v>19.014095999999995</x:v>
      </x:c>
      <x:c r="N45" s="2"/>
    </x:row>
    <x:row r="46" ht="23" customHeight="1">
      <x:c r="A46" s="17" t="d">
        <x:v>2026-08-10T00:00:00.000Z</x:v>
      </x:c>
      <x:c r="B46" s="18" t="n">
        <x:v>1042</x:v>
      </x:c>
      <x:c r="C46" s="18" t="n">
        <x:v>1004</x:v>
      </x:c>
      <x:c r="D46" s="18" t="n">
        <x:v>38</x:v>
      </x:c>
      <x:c r="E46" s="18" t="n">
        <x:v>17280</x:v>
      </x:c>
      <x:c r="F46" s="18" t="n">
        <x:v>17166</x:v>
      </x:c>
      <x:c r="G46" s="19" t="n">
        <x:v>22.996379</x:v>
      </x:c>
      <x:c r="H46" s="19" t="n">
        <x:v>25.349999999999998</x:v>
      </x:c>
      <x:c r="I46" s="19" t="n">
        <x:v>399.12061752988046</x:v>
      </x:c>
      <x:c r="J46" s="20" t="n">
        <x:f>IF(B46=0,"n.a.",C46/B46)</x:f>
        <x:v>0.963531669865643</x:v>
      </x:c>
      <x:c r="K46" s="20" t="n">
        <x:f>IF(E46=0,"n.a.",F46/E46)</x:f>
        <x:v>0.9934027777777777</x:v>
      </x:c>
      <x:c r="L46" s="19" t="n">
        <x:f>H46-G46</x:f>
        <x:v>2.353620999999997</x:v>
      </x:c>
      <x:c r="M46" s="19" t="n">
        <x:f>L46*Settings!$B$7</x:f>
        <x:v>18.828967999999975</x:v>
      </x:c>
      <x:c r="N46" s="2"/>
    </x:row>
    <x:row r="47" ht="23" customHeight="1">
      <x:c r="A47" s="17" t="d">
        <x:v>2026-08-11T00:00:00.000Z</x:v>
      </x:c>
      <x:c r="B47" s="18" t="n">
        <x:v>1007</x:v>
      </x:c>
      <x:c r="C47" s="18" t="n">
        <x:v>965</x:v>
      </x:c>
      <x:c r="D47" s="18" t="n">
        <x:v>42</x:v>
      </x:c>
      <x:c r="E47" s="18" t="n">
        <x:v>17280</x:v>
      </x:c>
      <x:c r="F47" s="18" t="n">
        <x:v>17165</x:v>
      </x:c>
      <x:c r="G47" s="19" t="n">
        <x:v>23.431764</x:v>
      </x:c>
      <x:c r="H47" s="19" t="n">
        <x:v>25.349999999999998</x:v>
      </x:c>
      <x:c r="I47" s="19" t="n">
        <x:v>394.119378238342</x:v>
      </x:c>
      <x:c r="J47" s="20" t="n">
        <x:f>IF(B47=0,"n.a.",C47/B47)</x:f>
        <x:v>0.958291956305859</x:v>
      </x:c>
      <x:c r="K47" s="20" t="n">
        <x:f>IF(E47=0,"n.a.",F47/E47)</x:f>
        <x:v>0.9933449074074074</x:v>
      </x:c>
      <x:c r="L47" s="19" t="n">
        <x:f>H47-G47</x:f>
        <x:v>1.9182359999999967</x:v>
      </x:c>
      <x:c r="M47" s="19" t="n">
        <x:f>L47*Settings!$B$7</x:f>
        <x:v>15.345887999999974</x:v>
      </x:c>
      <x:c r="N47" s="2"/>
    </x:row>
    <x:row r="48" ht="23" customHeight="1">
      <x:c r="A48" s="17" t="d">
        <x:v>2026-08-12T00:00:00.000Z</x:v>
      </x:c>
      <x:c r="B48" s="18" t="n">
        <x:v>965</x:v>
      </x:c>
      <x:c r="C48" s="18" t="n">
        <x:v>919</x:v>
      </x:c>
      <x:c r="D48" s="18" t="n">
        <x:v>46</x:v>
      </x:c>
      <x:c r="E48" s="18" t="n">
        <x:v>17280</x:v>
      </x:c>
      <x:c r="F48" s="18" t="n">
        <x:v>17144</x:v>
      </x:c>
      <x:c r="G48" s="19" t="n">
        <x:v>23.450742</x:v>
      </x:c>
      <x:c r="H48" s="19" t="n">
        <x:v>25.349999999999998</x:v>
      </x:c>
      <x:c r="I48" s="19" t="n">
        <x:v>397.8100108813928</x:v>
      </x:c>
      <x:c r="J48" s="20" t="n">
        <x:f>IF(B48=0,"n.a.",C48/B48)</x:f>
        <x:v>0.9523316062176166</x:v>
      </x:c>
      <x:c r="K48" s="20" t="n">
        <x:f>IF(E48=0,"n.a.",F48/E48)</x:f>
        <x:v>0.9921296296296296</x:v>
      </x:c>
      <x:c r="L48" s="19" t="n">
        <x:f>H48-G48</x:f>
        <x:v>1.8992579999999961</x:v>
      </x:c>
      <x:c r="M48" s="19" t="n">
        <x:f>L48*Settings!$B$7</x:f>
        <x:v>15.194063999999969</x:v>
      </x:c>
      <x:c r="N48" s="2"/>
    </x:row>
    <x:row r="49" ht="23" customHeight="1">
      <x:c r="A49" s="17" t="d">
        <x:v>2026-08-13T00:00:00.000Z</x:v>
      </x:c>
      <x:c r="B49" s="18" t="n">
        <x:v>1025</x:v>
      </x:c>
      <x:c r="C49" s="18" t="n">
        <x:v>990</x:v>
      </x:c>
      <x:c r="D49" s="18" t="n">
        <x:v>35</x:v>
      </x:c>
      <x:c r="E49" s="18" t="n">
        <x:v>17280</x:v>
      </x:c>
      <x:c r="F49" s="18" t="n">
        <x:v>17174</x:v>
      </x:c>
      <x:c r="G49" s="19" t="n">
        <x:v>23.061155</x:v>
      </x:c>
      <x:c r="H49" s="19" t="n">
        <x:v>25.349999999999998</x:v>
      </x:c>
      <x:c r="I49" s="19" t="n">
        <x:v>403.10545454545456</x:v>
      </x:c>
      <x:c r="J49" s="20" t="n">
        <x:f>IF(B49=0,"n.a.",C49/B49)</x:f>
        <x:v>0.9658536585365853</x:v>
      </x:c>
      <x:c r="K49" s="20" t="n">
        <x:f>IF(E49=0,"n.a.",F49/E49)</x:f>
        <x:v>0.9938657407407407</x:v>
      </x:c>
      <x:c r="L49" s="19" t="n">
        <x:f>H49-G49</x:f>
        <x:v>2.2888449999999985</x:v>
      </x:c>
      <x:c r="M49" s="19" t="n">
        <x:f>L49*Settings!$B$7</x:f>
        <x:v>18.310759999999988</x:v>
      </x:c>
      <x:c r="N49" s="2"/>
    </x:row>
    <x:row r="50" ht="23" customHeight="1">
      <x:c r="A50" s="17" t="d">
        <x:v>2026-08-14T00:00:00.000Z</x:v>
      </x:c>
      <x:c r="B50" s="18" t="n">
        <x:v>1010</x:v>
      </x:c>
      <x:c r="C50" s="18" t="n">
        <x:v>978</x:v>
      </x:c>
      <x:c r="D50" s="18" t="n">
        <x:v>32</x:v>
      </x:c>
      <x:c r="E50" s="18" t="n">
        <x:v>17280</x:v>
      </x:c>
      <x:c r="F50" s="18" t="n">
        <x:v>17163</x:v>
      </x:c>
      <x:c r="G50" s="19" t="n">
        <x:v>23.233038</x:v>
      </x:c>
      <x:c r="H50" s="19" t="n">
        <x:v>25.349999999999998</x:v>
      </x:c>
      <x:c r="I50" s="19" t="n">
        <x:v>396.77382413087935</x:v>
      </x:c>
      <x:c r="J50" s="20" t="n">
        <x:f>IF(B50=0,"n.a.",C50/B50)</x:f>
        <x:v>0.9683168316831683</x:v>
      </x:c>
      <x:c r="K50" s="20" t="n">
        <x:f>IF(E50=0,"n.a.",F50/E50)</x:f>
        <x:v>0.9932291666666667</x:v>
      </x:c>
      <x:c r="L50" s="19" t="n">
        <x:f>H50-G50</x:f>
        <x:v>2.1169619999999973</x:v>
      </x:c>
      <x:c r="M50" s="19" t="n">
        <x:f>L50*Settings!$B$7</x:f>
        <x:v>16.93569599999998</x:v>
      </x:c>
      <x:c r="N50" s="2"/>
    </x:row>
    <x:row r="51" ht="23" customHeight="1">
      <x:c r="A51" s="17" t="d">
        <x:v>2026-08-15T00:00:00.000Z</x:v>
      </x:c>
      <x:c r="B51" s="18" t="n">
        <x:v>1051</x:v>
      </x:c>
      <x:c r="C51" s="18" t="n">
        <x:v>1021</x:v>
      </x:c>
      <x:c r="D51" s="18" t="n">
        <x:v>30</x:v>
      </x:c>
      <x:c r="E51" s="18" t="n">
        <x:v>17280</x:v>
      </x:c>
      <x:c r="F51" s="18" t="n">
        <x:v>17165</x:v>
      </x:c>
      <x:c r="G51" s="19" t="n">
        <x:v>23.152307</x:v>
      </x:c>
      <x:c r="H51" s="19" t="n">
        <x:v>25.349999999999998</x:v>
      </x:c>
      <x:c r="I51" s="19" t="n">
        <x:v>403.78961802154754</x:v>
      </x:c>
      <x:c r="J51" s="20" t="n">
        <x:f>IF(B51=0,"n.a.",C51/B51)</x:f>
        <x:v>0.9714557564224549</x:v>
      </x:c>
      <x:c r="K51" s="20" t="n">
        <x:f>IF(E51=0,"n.a.",F51/E51)</x:f>
        <x:v>0.9933449074074074</x:v>
      </x:c>
      <x:c r="L51" s="19" t="n">
        <x:f>H51-G51</x:f>
        <x:v>2.1976929999999975</x:v>
      </x:c>
      <x:c r="M51" s="19" t="n">
        <x:f>L51*Settings!$B$7</x:f>
        <x:v>17.58154399999998</x:v>
      </x:c>
      <x:c r="N51" s="2"/>
    </x:row>
    <x:row r="52" ht="23" customHeight="1">
      <x:c r="A52" s="17" t="d">
        <x:v>2026-08-16T00:00:00.000Z</x:v>
      </x:c>
      <x:c r="B52" s="18" t="n">
        <x:v>1059</x:v>
      </x:c>
      <x:c r="C52" s="18" t="n">
        <x:v>1022</x:v>
      </x:c>
      <x:c r="D52" s="18" t="n">
        <x:v>37</x:v>
      </x:c>
      <x:c r="E52" s="18" t="n">
        <x:v>17280</x:v>
      </x:c>
      <x:c r="F52" s="18" t="n">
        <x:v>17148</x:v>
      </x:c>
      <x:c r="G52" s="19" t="n">
        <x:v>23.268017</x:v>
      </x:c>
      <x:c r="H52" s="19" t="n">
        <x:v>25.349999999999998</x:v>
      </x:c>
      <x:c r="I52" s="19" t="n">
        <x:v>403.47084148727987</x:v>
      </x:c>
      <x:c r="J52" s="20" t="n">
        <x:f>IF(B52=0,"n.a.",C52/B52)</x:f>
        <x:v>0.9650613786591123</x:v>
      </x:c>
      <x:c r="K52" s="20" t="n">
        <x:f>IF(E52=0,"n.a.",F52/E52)</x:f>
        <x:v>0.9923611111111111</x:v>
      </x:c>
      <x:c r="L52" s="19" t="n">
        <x:f>H52-G52</x:f>
        <x:v>2.0819829999999975</x:v>
      </x:c>
      <x:c r="M52" s="19" t="n">
        <x:f>L52*Settings!$B$7</x:f>
        <x:v>16.65586399999998</x:v>
      </x:c>
      <x:c r="N52" s="2"/>
    </x:row>
    <x:row r="53" ht="23" customHeight="1">
      <x:c r="A53" s="17" t="d">
        <x:v>2026-08-17T00:00:00.000Z</x:v>
      </x:c>
      <x:c r="B53" s="18" t="n">
        <x:v>1032</x:v>
      </x:c>
      <x:c r="C53" s="18" t="n">
        <x:v>990</x:v>
      </x:c>
      <x:c r="D53" s="18" t="n">
        <x:v>42</x:v>
      </x:c>
      <x:c r="E53" s="18" t="n">
        <x:v>17280</x:v>
      </x:c>
      <x:c r="F53" s="18" t="n">
        <x:v>17154</x:v>
      </x:c>
      <x:c r="G53" s="19" t="n">
        <x:v>23.329014</x:v>
      </x:c>
      <x:c r="H53" s="19" t="n">
        <x:v>25.349999999999998</x:v>
      </x:c>
      <x:c r="I53" s="19" t="n">
        <x:v>385.8279797979798</x:v>
      </x:c>
      <x:c r="J53" s="20" t="n">
        <x:f>IF(B53=0,"n.a.",C53/B53)</x:f>
        <x:v>0.9593023255813954</x:v>
      </x:c>
      <x:c r="K53" s="20" t="n">
        <x:f>IF(E53=0,"n.a.",F53/E53)</x:f>
        <x:v>0.9927083333333333</x:v>
      </x:c>
      <x:c r="L53" s="19" t="n">
        <x:f>H53-G53</x:f>
        <x:v>2.020985999999997</x:v>
      </x:c>
      <x:c r="M53" s="19" t="n">
        <x:f>L53*Settings!$B$7</x:f>
        <x:v>16.167887999999977</x:v>
      </x:c>
      <x:c r="N53" s="2"/>
    </x:row>
    <x:row r="54" ht="23" customHeight="1">
      <x:c r="A54" s="17" t="d">
        <x:v>2026-08-18T00:00:00.000Z</x:v>
      </x:c>
      <x:c r="B54" s="18" t="n">
        <x:v>1040</x:v>
      </x:c>
      <x:c r="C54" s="18" t="n">
        <x:v>1004</x:v>
      </x:c>
      <x:c r="D54" s="18" t="n">
        <x:v>36</x:v>
      </x:c>
      <x:c r="E54" s="18" t="n">
        <x:v>17280</x:v>
      </x:c>
      <x:c r="F54" s="18" t="n">
        <x:v>17165</x:v>
      </x:c>
      <x:c r="G54" s="19" t="n">
        <x:v>23.362035</x:v>
      </x:c>
      <x:c r="H54" s="19" t="n">
        <x:v>25.349999999999998</x:v>
      </x:c>
      <x:c r="I54" s="19" t="n">
        <x:v>394.101593625498</x:v>
      </x:c>
      <x:c r="J54" s="20" t="n">
        <x:f>IF(B54=0,"n.a.",C54/B54)</x:f>
        <x:v>0.9653846153846154</x:v>
      </x:c>
      <x:c r="K54" s="20" t="n">
        <x:f>IF(E54=0,"n.a.",F54/E54)</x:f>
        <x:v>0.9933449074074074</x:v>
      </x:c>
      <x:c r="L54" s="19" t="n">
        <x:f>H54-G54</x:f>
        <x:v>1.987964999999999</x:v>
      </x:c>
      <x:c r="M54" s="19" t="n">
        <x:f>L54*Settings!$B$7</x:f>
        <x:v>15.903719999999993</x:v>
      </x:c>
      <x:c r="N54" s="2"/>
    </x:row>
    <x:row r="55" ht="23" customHeight="1">
      <x:c r="A55" s="17" t="d">
        <x:v>2026-08-19T00:00:00.000Z</x:v>
      </x:c>
      <x:c r="B55" s="18" t="n">
        <x:v>1021</x:v>
      </x:c>
      <x:c r="C55" s="18" t="n">
        <x:v>969</x:v>
      </x:c>
      <x:c r="D55" s="18" t="n">
        <x:v>52</x:v>
      </x:c>
      <x:c r="E55" s="18" t="n">
        <x:v>17280</x:v>
      </x:c>
      <x:c r="F55" s="18" t="n">
        <x:v>17158</x:v>
      </x:c>
      <x:c r="G55" s="19" t="n">
        <x:v>23.339286</x:v>
      </x:c>
      <x:c r="H55" s="19" t="n">
        <x:v>25.349999999999998</x:v>
      </x:c>
      <x:c r="I55" s="19" t="n">
        <x:v>402.64943240454073</x:v>
      </x:c>
      <x:c r="J55" s="20" t="n">
        <x:f>IF(B55=0,"n.a.",C55/B55)</x:f>
        <x:v>0.9490695396669931</x:v>
      </x:c>
      <x:c r="K55" s="20" t="n">
        <x:f>IF(E55=0,"n.a.",F55/E55)</x:f>
        <x:v>0.9929398148148149</x:v>
      </x:c>
      <x:c r="L55" s="19" t="n">
        <x:f>H55-G55</x:f>
        <x:v>2.0107139999999966</x:v>
      </x:c>
      <x:c r="M55" s="19" t="n">
        <x:f>L55*Settings!$B$7</x:f>
        <x:v>16.085711999999972</x:v>
      </x:c>
      <x:c r="N55" s="2"/>
    </x:row>
    <x:row r="56" ht="23" customHeight="1">
      <x:c r="A56" s="17" t="d">
        <x:v>2026-08-20T00:00:00.000Z</x:v>
      </x:c>
      <x:c r="B56" s="18" t="n">
        <x:v>997</x:v>
      </x:c>
      <x:c r="C56" s="18" t="n">
        <x:v>957</x:v>
      </x:c>
      <x:c r="D56" s="18" t="n">
        <x:v>40</x:v>
      </x:c>
      <x:c r="E56" s="18" t="n">
        <x:v>17280</x:v>
      </x:c>
      <x:c r="F56" s="18" t="n">
        <x:v>17161</x:v>
      </x:c>
      <x:c r="G56" s="19" t="n">
        <x:v>22.840765</x:v>
      </x:c>
      <x:c r="H56" s="19" t="n">
        <x:v>25.349999999999998</x:v>
      </x:c>
      <x:c r="I56" s="19" t="n">
        <x:v>397.29059561128526</x:v>
      </x:c>
      <x:c r="J56" s="20" t="n">
        <x:f>IF(B56=0,"n.a.",C56/B56)</x:f>
        <x:v>0.9598796389167502</x:v>
      </x:c>
      <x:c r="K56" s="20" t="n">
        <x:f>IF(E56=0,"n.a.",F56/E56)</x:f>
        <x:v>0.9931134259259259</x:v>
      </x:c>
      <x:c r="L56" s="19" t="n">
        <x:f>H56-G56</x:f>
        <x:v>2.5092349999999968</x:v>
      </x:c>
      <x:c r="M56" s="19" t="n">
        <x:f>L56*Settings!$B$7</x:f>
        <x:v>20.073879999999974</x:v>
      </x:c>
      <x:c r="N56" s="2"/>
    </x:row>
    <x:row r="57" ht="23" customHeight="1">
      <x:c r="A57" s="17" t="d">
        <x:v>2026-08-21T00:00:00.000Z</x:v>
      </x:c>
      <x:c r="B57" s="18" t="n">
        <x:v>1067</x:v>
      </x:c>
      <x:c r="C57" s="18" t="n">
        <x:v>1048</x:v>
      </x:c>
      <x:c r="D57" s="18" t="n">
        <x:v>19</x:v>
      </x:c>
      <x:c r="E57" s="18" t="n">
        <x:v>17280</x:v>
      </x:c>
      <x:c r="F57" s="18" t="n">
        <x:v>17164</x:v>
      </x:c>
      <x:c r="G57" s="19" t="n">
        <x:v>23.026266</x:v>
      </x:c>
      <x:c r="H57" s="19" t="n">
        <x:v>25.349999999999998</x:v>
      </x:c>
      <x:c r="I57" s="19" t="n">
        <x:v>312.92185114503815</x:v>
      </x:c>
      <x:c r="J57" s="20" t="n">
        <x:f>IF(B57=0,"n.a.",C57/B57)</x:f>
        <x:v>0.9821930646672915</x:v>
      </x:c>
      <x:c r="K57" s="20" t="n">
        <x:f>IF(E57=0,"n.a.",F57/E57)</x:f>
        <x:v>0.993287037037037</x:v>
      </x:c>
      <x:c r="L57" s="19" t="n">
        <x:f>H57-G57</x:f>
        <x:v>2.323733999999998</x:v>
      </x:c>
      <x:c r="M57" s="19" t="n">
        <x:f>L57*Settings!$B$7</x:f>
        <x:v>18.589871999999986</x:v>
      </x:c>
      <x:c r="N57" s="2"/>
    </x:row>
    <x:row r="58" ht="23" customHeight="1">
      <x:c r="A58" s="17" t="d">
        <x:v>2026-08-22T00:00:00.000Z</x:v>
      </x:c>
      <x:c r="B58" s="18" t="n">
        <x:v>1040</x:v>
      </x:c>
      <x:c r="C58" s="18" t="n">
        <x:v>1022</x:v>
      </x:c>
      <x:c r="D58" s="18" t="n">
        <x:v>18</x:v>
      </x:c>
      <x:c r="E58" s="18" t="n">
        <x:v>17280</x:v>
      </x:c>
      <x:c r="F58" s="18" t="n">
        <x:v>17153</x:v>
      </x:c>
      <x:c r="G58" s="19" t="n">
        <x:v>23.3176</x:v>
      </x:c>
      <x:c r="H58" s="19" t="n">
        <x:v>25.349999999999998</x:v>
      </x:c>
      <x:c r="I58" s="19" t="n">
        <x:v>315.4636007827788</x:v>
      </x:c>
      <x:c r="J58" s="20" t="n">
        <x:f>IF(B58=0,"n.a.",C58/B58)</x:f>
        <x:v>0.9826923076923076</x:v>
      </x:c>
      <x:c r="K58" s="20" t="n">
        <x:f>IF(E58=0,"n.a.",F58/E58)</x:f>
        <x:v>0.992650462962963</x:v>
      </x:c>
      <x:c r="L58" s="19" t="n">
        <x:f>H58-G58</x:f>
        <x:v>2.032399999999999</x:v>
      </x:c>
      <x:c r="M58" s="19" t="n">
        <x:f>L58*Settings!$B$7</x:f>
        <x:v>16.259199999999993</x:v>
      </x:c>
      <x:c r="N58" s="2"/>
    </x:row>
    <x:row r="59" ht="23" customHeight="1">
      <x:c r="A59" s="17" t="d">
        <x:v>2026-08-23T00:00:00.000Z</x:v>
      </x:c>
      <x:c r="B59" s="18" t="n">
        <x:v>999</x:v>
      </x:c>
      <x:c r="C59" s="18" t="n">
        <x:v>984</x:v>
      </x:c>
      <x:c r="D59" s="18" t="n">
        <x:v>15</x:v>
      </x:c>
      <x:c r="E59" s="18" t="n">
        <x:v>17280</x:v>
      </x:c>
      <x:c r="F59" s="18" t="n">
        <x:v>17141</x:v>
      </x:c>
      <x:c r="G59" s="19" t="n">
        <x:v>23.301762</x:v>
      </x:c>
      <x:c r="H59" s="19" t="n">
        <x:v>25.349999999999998</x:v>
      </x:c>
      <x:c r="I59" s="19" t="n">
        <x:v>314.9342479674797</x:v>
      </x:c>
      <x:c r="J59" s="20" t="n">
        <x:f>IF(B59=0,"n.a.",C59/B59)</x:f>
        <x:v>0.984984984984985</x:v>
      </x:c>
      <x:c r="K59" s="20" t="n">
        <x:f>IF(E59=0,"n.a.",F59/E59)</x:f>
        <x:v>0.9919560185185186</x:v>
      </x:c>
      <x:c r="L59" s="19" t="n">
        <x:f>H59-G59</x:f>
        <x:v>2.048237999999998</x:v>
      </x:c>
      <x:c r="M59" s="19" t="n">
        <x:f>L59*Settings!$B$7</x:f>
        <x:v>16.385903999999982</x:v>
      </x:c>
      <x:c r="N59" s="2"/>
    </x:row>
    <x:row r="60" ht="23" customHeight="1">
      <x:c r="A60" s="17" t="d">
        <x:v>2026-08-24T00:00:00.000Z</x:v>
      </x:c>
      <x:c r="B60" s="18" t="n">
        <x:v>1056</x:v>
      </x:c>
      <x:c r="C60" s="18" t="n">
        <x:v>1033</x:v>
      </x:c>
      <x:c r="D60" s="18" t="n">
        <x:v>23</x:v>
      </x:c>
      <x:c r="E60" s="18" t="n">
        <x:v>17280</x:v>
      </x:c>
      <x:c r="F60" s="18" t="n">
        <x:v>17142</x:v>
      </x:c>
      <x:c r="G60" s="19" t="n">
        <x:v>23.182399</x:v>
      </x:c>
      <x:c r="H60" s="19" t="n">
        <x:v>25.349999999999998</x:v>
      </x:c>
      <x:c r="I60" s="19" t="n">
        <x:v>317.60590513068735</x:v>
      </x:c>
      <x:c r="J60" s="20" t="n">
        <x:f>IF(B60=0,"n.a.",C60/B60)</x:f>
        <x:v>0.978219696969697</x:v>
      </x:c>
      <x:c r="K60" s="20" t="n">
        <x:f>IF(E60=0,"n.a.",F60/E60)</x:f>
        <x:v>0.9920138888888889</x:v>
      </x:c>
      <x:c r="L60" s="19" t="n">
        <x:f>H60-G60</x:f>
        <x:v>2.1676009999999977</x:v>
      </x:c>
      <x:c r="M60" s="19" t="n">
        <x:f>L60*Settings!$B$7</x:f>
        <x:v>17.34080799999998</x:v>
      </x:c>
      <x:c r="N60" s="2"/>
    </x:row>
    <x:row r="61" ht="23" customHeight="1">
      <x:c r="A61" s="17" t="d">
        <x:v>2026-08-25T00:00:00.000Z</x:v>
      </x:c>
      <x:c r="B61" s="18" t="n">
        <x:v>1075</x:v>
      </x:c>
      <x:c r="C61" s="18" t="n">
        <x:v>1053</x:v>
      </x:c>
      <x:c r="D61" s="18" t="n">
        <x:v>22</x:v>
      </x:c>
      <x:c r="E61" s="18" t="n">
        <x:v>17280</x:v>
      </x:c>
      <x:c r="F61" s="18" t="n">
        <x:v>17145</x:v>
      </x:c>
      <x:c r="G61" s="19" t="n">
        <x:v>23.497326</x:v>
      </x:c>
      <x:c r="H61" s="19" t="n">
        <x:v>25.349999999999998</x:v>
      </x:c>
      <x:c r="I61" s="19" t="n">
        <x:v>320.53504273504274</x:v>
      </x:c>
      <x:c r="J61" s="20" t="n">
        <x:f>IF(B61=0,"n.a.",C61/B61)</x:f>
        <x:v>0.9795348837209302</x:v>
      </x:c>
      <x:c r="K61" s="20" t="n">
        <x:f>IF(E61=0,"n.a.",F61/E61)</x:f>
        <x:v>0.9921875</x:v>
      </x:c>
      <x:c r="L61" s="19" t="n">
        <x:f>H61-G61</x:f>
        <x:v>1.8526739999999968</x:v>
      </x:c>
      <x:c r="M61" s="19" t="n">
        <x:f>L61*Settings!$B$7</x:f>
        <x:v>14.821391999999975</x:v>
      </x:c>
      <x:c r="N61" s="2"/>
    </x:row>
    <x:row r="62" ht="23" customHeight="1">
      <x:c r="A62" s="17" t="d">
        <x:v>2026-08-26T00:00:00.000Z</x:v>
      </x:c>
      <x:c r="B62" s="18" t="n">
        <x:v>983</x:v>
      </x:c>
      <x:c r="C62" s="18" t="n">
        <x:v>970</x:v>
      </x:c>
      <x:c r="D62" s="18" t="n">
        <x:v>13</x:v>
      </x:c>
      <x:c r="E62" s="18" t="n">
        <x:v>17280</x:v>
      </x:c>
      <x:c r="F62" s="18" t="n">
        <x:v>17144</x:v>
      </x:c>
      <x:c r="G62" s="19" t="n">
        <x:v>23.315097</x:v>
      </x:c>
      <x:c r="H62" s="19" t="n">
        <x:v>25.349999999999998</x:v>
      </x:c>
      <x:c r="I62" s="19" t="n">
        <x:v>313.3519587628866</x:v>
      </x:c>
      <x:c r="J62" s="20" t="n">
        <x:f>IF(B62=0,"n.a.",C62/B62)</x:f>
        <x:v>0.9867751780264497</x:v>
      </x:c>
      <x:c r="K62" s="20" t="n">
        <x:f>IF(E62=0,"n.a.",F62/E62)</x:f>
        <x:v>0.9921296296296296</x:v>
      </x:c>
      <x:c r="L62" s="19" t="n">
        <x:f>H62-G62</x:f>
        <x:v>2.0349029999999964</x:v>
      </x:c>
      <x:c r="M62" s="19" t="n">
        <x:f>L62*Settings!$B$7</x:f>
        <x:v>16.27922399999997</x:v>
      </x:c>
      <x:c r="N62" s="2"/>
    </x:row>
    <x:row r="63" ht="23" customHeight="1">
      <x:c r="A63" s="17" t="d">
        <x:v>2026-08-27T00:00:00.000Z</x:v>
      </x:c>
      <x:c r="B63" s="18" t="n">
        <x:v>1014</x:v>
      </x:c>
      <x:c r="C63" s="18" t="n">
        <x:v>999</x:v>
      </x:c>
      <x:c r="D63" s="18" t="n">
        <x:v>15</x:v>
      </x:c>
      <x:c r="E63" s="18" t="n">
        <x:v>17280</x:v>
      </x:c>
      <x:c r="F63" s="18" t="n">
        <x:v>17160</x:v>
      </x:c>
      <x:c r="G63" s="19" t="n">
        <x:v>23.190165</x:v>
      </x:c>
      <x:c r="H63" s="19" t="n">
        <x:v>25.349999999999998</x:v>
      </x:c>
      <x:c r="I63" s="19" t="n">
        <x:v>317.7554554554555</x:v>
      </x:c>
      <x:c r="J63" s="20" t="n">
        <x:f>IF(B63=0,"n.a.",C63/B63)</x:f>
        <x:v>0.985207100591716</x:v>
      </x:c>
      <x:c r="K63" s="20" t="n">
        <x:f>IF(E63=0,"n.a.",F63/E63)</x:f>
        <x:v>0.9930555555555556</x:v>
      </x:c>
      <x:c r="L63" s="19" t="n">
        <x:f>H63-G63</x:f>
        <x:v>2.1598349999999975</x:v>
      </x:c>
      <x:c r="M63" s="19" t="n">
        <x:f>L63*Settings!$B$7</x:f>
        <x:v>17.27867999999998</x:v>
      </x:c>
      <x:c r="N63" s="2"/>
    </x:row>
    <x:row r="64" ht="23" customHeight="1">
      <x:c r="A64" s="17" t="d">
        <x:v>2026-08-28T00:00:00.000Z</x:v>
      </x:c>
      <x:c r="B64" s="18" t="n">
        <x:v>1025</x:v>
      </x:c>
      <x:c r="C64" s="18" t="n">
        <x:v>1014</x:v>
      </x:c>
      <x:c r="D64" s="18" t="n">
        <x:v>11</x:v>
      </x:c>
      <x:c r="E64" s="18" t="n">
        <x:v>17280</x:v>
      </x:c>
      <x:c r="F64" s="18" t="n">
        <x:v>17152</x:v>
      </x:c>
      <x:c r="G64" s="19" t="n">
        <x:v>22.619515</x:v>
      </x:c>
      <x:c r="H64" s="19" t="n">
        <x:v>25.349999999999998</x:v>
      </x:c>
      <x:c r="I64" s="19" t="n">
        <x:v>319.6233727810651</x:v>
      </x:c>
      <x:c r="J64" s="20" t="n">
        <x:f>IF(B64=0,"n.a.",C64/B64)</x:f>
        <x:v>0.9892682926829268</x:v>
      </x:c>
      <x:c r="K64" s="20" t="n">
        <x:f>IF(E64=0,"n.a.",F64/E64)</x:f>
        <x:v>0.9925925925925926</x:v>
      </x:c>
      <x:c r="L64" s="19" t="n">
        <x:f>H64-G64</x:f>
        <x:v>2.730484999999998</x:v>
      </x:c>
      <x:c r="M64" s="19" t="n">
        <x:f>L64*Settings!$B$7</x:f>
        <x:v>21.843879999999984</x:v>
      </x:c>
      <x:c r="N64" s="2"/>
    </x:row>
    <x:row r="65" ht="23" customHeight="1">
      <x:c r="A65" s="17" t="d">
        <x:v>2026-08-29T00:00:00.000Z</x:v>
      </x:c>
      <x:c r="B65" s="18" t="n">
        <x:v>1008</x:v>
      </x:c>
      <x:c r="C65" s="18" t="n">
        <x:v>993</x:v>
      </x:c>
      <x:c r="D65" s="18" t="n">
        <x:v>15</x:v>
      </x:c>
      <x:c r="E65" s="18" t="n">
        <x:v>17280</x:v>
      </x:c>
      <x:c r="F65" s="18" t="n">
        <x:v>17148</x:v>
      </x:c>
      <x:c r="G65" s="19" t="n">
        <x:v>22.281342</x:v>
      </x:c>
      <x:c r="H65" s="19" t="n">
        <x:v>25.349999999999998</x:v>
      </x:c>
      <x:c r="I65" s="19" t="n">
        <x:v>312.64279959718027</x:v>
      </x:c>
      <x:c r="J65" s="20" t="n">
        <x:f>IF(B65=0,"n.a.",C65/B65)</x:f>
        <x:v>0.9851190476190477</x:v>
      </x:c>
      <x:c r="K65" s="20" t="n">
        <x:f>IF(E65=0,"n.a.",F65/E65)</x:f>
        <x:v>0.9923611111111111</x:v>
      </x:c>
      <x:c r="L65" s="19" t="n">
        <x:f>H65-G65</x:f>
        <x:v>3.068657999999999</x:v>
      </x:c>
      <x:c r="M65" s="19" t="n">
        <x:f>L65*Settings!$B$7</x:f>
        <x:v>24.549263999999994</x:v>
      </x:c>
      <x:c r="N65" s="2"/>
    </x:row>
    <x:row r="66" ht="23" customHeight="1">
      <x:c r="A66" s="17" t="d">
        <x:v>2026-08-30T00:00:00.000Z</x:v>
      </x:c>
      <x:c r="B66" s="18" t="n">
        <x:v>1009</x:v>
      </x:c>
      <x:c r="C66" s="18" t="n">
        <x:v>995</x:v>
      </x:c>
      <x:c r="D66" s="18" t="n">
        <x:v>14</x:v>
      </x:c>
      <x:c r="E66" s="18" t="n">
        <x:v>17280</x:v>
      </x:c>
      <x:c r="F66" s="18" t="n">
        <x:v>17146</x:v>
      </x:c>
      <x:c r="G66" s="19" t="n">
        <x:v>22.7347</x:v>
      </x:c>
      <x:c r="H66" s="19" t="n">
        <x:v>25.349999999999998</x:v>
      </x:c>
      <x:c r="I66" s="19" t="n">
        <x:v>321.37145728643213</x:v>
      </x:c>
      <x:c r="J66" s="20" t="n">
        <x:f>IF(B66=0,"n.a.",C66/B66)</x:f>
        <x:v>0.9861248761149654</x:v>
      </x:c>
      <x:c r="K66" s="20" t="n">
        <x:f>IF(E66=0,"n.a.",F66/E66)</x:f>
        <x:v>0.9922453703703704</x:v>
      </x:c>
      <x:c r="L66" s="19" t="n">
        <x:f>H66-G66</x:f>
        <x:v>2.6152999999999977</x:v>
      </x:c>
      <x:c r="M66" s="19" t="n">
        <x:f>L66*Settings!$B$7</x:f>
        <x:v>20.922399999999982</x:v>
      </x:c>
      <x:c r="N66" s="2"/>
    </x:row>
    <x:row r="67" ht="23" customHeight="1">
      <x:c r="A67" s="17" t="d">
        <x:v>2026-08-31T00:00:00.000Z</x:v>
      </x:c>
      <x:c r="B67" s="18" t="n">
        <x:v>998</x:v>
      </x:c>
      <x:c r="C67" s="18" t="n">
        <x:v>986</x:v>
      </x:c>
      <x:c r="D67" s="18" t="n">
        <x:v>12</x:v>
      </x:c>
      <x:c r="E67" s="18" t="n">
        <x:v>17280</x:v>
      </x:c>
      <x:c r="F67" s="18" t="n">
        <x:v>17143</x:v>
      </x:c>
      <x:c r="G67" s="19" t="n">
        <x:v>22.32236</x:v>
      </x:c>
      <x:c r="H67" s="19" t="n">
        <x:v>25.349999999999998</x:v>
      </x:c>
      <x:c r="I67" s="19" t="n">
        <x:v>319.67190669371195</x:v>
      </x:c>
      <x:c r="J67" s="20" t="n">
        <x:f>IF(B67=0,"n.a.",C67/B67)</x:f>
        <x:v>0.9879759519038076</x:v>
      </x:c>
      <x:c r="K67" s="20" t="n">
        <x:f>IF(E67=0,"n.a.",F67/E67)</x:f>
        <x:v>0.9920717592592593</x:v>
      </x:c>
      <x:c r="L67" s="19" t="n">
        <x:f>H67-G67</x:f>
        <x:v>3.027639999999998</x:v>
      </x:c>
      <x:c r="M67" s="19" t="n">
        <x:f>L67*Settings!$B$7</x:f>
        <x:v>24.221119999999985</x:v>
      </x:c>
      <x:c r="N67" s="2"/>
    </x:row>
    <x:row r="68" ht="23" customHeight="1">
      <x:c r="A68" s="17" t="d">
        <x:v>2026-09-01T00:00:00.000Z</x:v>
      </x:c>
      <x:c r="B68" s="18" t="n">
        <x:v>1000</x:v>
      </x:c>
      <x:c r="C68" s="18" t="n">
        <x:v>980</x:v>
      </x:c>
      <x:c r="D68" s="18" t="n">
        <x:v>20</x:v>
      </x:c>
      <x:c r="E68" s="18" t="n">
        <x:v>17280</x:v>
      </x:c>
      <x:c r="F68" s="18" t="n">
        <x:v>17157</x:v>
      </x:c>
      <x:c r="G68" s="19" t="n">
        <x:v>22.680419</x:v>
      </x:c>
      <x:c r="H68" s="19" t="n">
        <x:v>25.349999999999998</x:v>
      </x:c>
      <x:c r="I68" s="19" t="n">
        <x:v>312.97479591836736</x:v>
      </x:c>
      <x:c r="J68" s="20" t="n">
        <x:f>IF(B68=0,"n.a.",C68/B68)</x:f>
        <x:v>0.98</x:v>
      </x:c>
      <x:c r="K68" s="20" t="n">
        <x:f>IF(E68=0,"n.a.",F68/E68)</x:f>
        <x:v>0.9928819444444444</x:v>
      </x:c>
      <x:c r="L68" s="19" t="n">
        <x:f>H68-G68</x:f>
        <x:v>2.6695809999999973</x:v>
      </x:c>
      <x:c r="M68" s="19" t="n">
        <x:f>L68*Settings!$B$7</x:f>
        <x:v>21.35664799999998</x:v>
      </x:c>
      <x:c r="N68" s="2"/>
    </x:row>
    <x:row r="69" ht="23" customHeight="1">
      <x:c r="A69" s="17" t="d">
        <x:v>2026-09-02T00:00:00.000Z</x:v>
      </x:c>
      <x:c r="B69" s="18" t="n">
        <x:v>1009</x:v>
      </x:c>
      <x:c r="C69" s="18" t="n">
        <x:v>969</x:v>
      </x:c>
      <x:c r="D69" s="18" t="n">
        <x:v>40</x:v>
      </x:c>
      <x:c r="E69" s="18" t="n">
        <x:v>17280</x:v>
      </x:c>
      <x:c r="F69" s="18" t="n">
        <x:v>16643</x:v>
      </x:c>
      <x:c r="G69" s="19" t="n">
        <x:v>22.670803</x:v>
      </x:c>
      <x:c r="H69" s="19" t="n">
        <x:v>25.349999999999998</x:v>
      </x:c>
      <x:c r="I69" s="19" t="n">
        <x:v>315.9181630546956</x:v>
      </x:c>
      <x:c r="J69" s="20" t="n">
        <x:f>IF(B69=0,"n.a.",C69/B69)</x:f>
        <x:v>0.9603567888999008</x:v>
      </x:c>
      <x:c r="K69" s="20" t="n">
        <x:f>IF(E69=0,"n.a.",F69/E69)</x:f>
        <x:v>0.963136574074074</x:v>
      </x:c>
      <x:c r="L69" s="19" t="n">
        <x:f>H69-G69</x:f>
        <x:v>2.6791969999999985</x:v>
      </x:c>
      <x:c r="M69" s="19" t="n">
        <x:f>L69*Settings!$B$7</x:f>
        <x:v>21.433575999999988</x:v>
      </x:c>
      <x:c r="N69" s="2"/>
    </x:row>
    <x:row r="70" ht="23" customHeight="1">
      <x:c r="A70" s="17" t="d">
        <x:v>2026-09-03T00:00:00.000Z</x:v>
      </x:c>
      <x:c r="B70" s="18" t="n">
        <x:v>998</x:v>
      </x:c>
      <x:c r="C70" s="18" t="n">
        <x:v>985</x:v>
      </x:c>
      <x:c r="D70" s="18" t="n">
        <x:v>13</x:v>
      </x:c>
      <x:c r="E70" s="18" t="n">
        <x:v>17280</x:v>
      </x:c>
      <x:c r="F70" s="18" t="n">
        <x:v>17173</x:v>
      </x:c>
      <x:c r="G70" s="19" t="n">
        <x:v>22.532609</x:v>
      </x:c>
      <x:c r="H70" s="19" t="n">
        <x:v>25.349999999999998</x:v>
      </x:c>
      <x:c r="I70" s="19" t="n">
        <x:v>309.9508629441624</x:v>
      </x:c>
      <x:c r="J70" s="20" t="n">
        <x:f>IF(B70=0,"n.a.",C70/B70)</x:f>
        <x:v>0.9869739478957916</x:v>
      </x:c>
      <x:c r="K70" s="20" t="n">
        <x:f>IF(E70=0,"n.a.",F70/E70)</x:f>
        <x:v>0.9938078703703703</x:v>
      </x:c>
      <x:c r="L70" s="19" t="n">
        <x:f>H70-G70</x:f>
        <x:v>2.817390999999997</x:v>
      </x:c>
      <x:c r="M70" s="19" t="n">
        <x:f>L70*Settings!$B$7</x:f>
        <x:v>22.539127999999977</x:v>
      </x:c>
      <x:c r="N70" s="2"/>
    </x:row>
    <x:row r="71" ht="23" customHeight="1">
      <x:c r="A71" s="17" t="d">
        <x:v>2026-09-04T00:00:00.000Z</x:v>
      </x:c>
      <x:c r="B71" s="18" t="n">
        <x:v>1023</x:v>
      </x:c>
      <x:c r="C71" s="18" t="n">
        <x:v>1010</x:v>
      </x:c>
      <x:c r="D71" s="18" t="n">
        <x:v>13</x:v>
      </x:c>
      <x:c r="E71" s="18" t="n">
        <x:v>17280</x:v>
      </x:c>
      <x:c r="F71" s="18" t="n">
        <x:v>17138</x:v>
      </x:c>
      <x:c r="G71" s="19" t="n">
        <x:v>22.524124</x:v>
      </x:c>
      <x:c r="H71" s="19" t="n">
        <x:v>25.349999999999998</x:v>
      </x:c>
      <x:c r="I71" s="19" t="n">
        <x:v>309.13841584158416</x:v>
      </x:c>
      <x:c r="J71" s="20" t="n">
        <x:f>IF(B71=0,"n.a.",C71/B71)</x:f>
        <x:v>0.9872922776148583</x:v>
      </x:c>
      <x:c r="K71" s="20" t="n">
        <x:f>IF(E71=0,"n.a.",F71/E71)</x:f>
        <x:v>0.9917824074074074</x:v>
      </x:c>
      <x:c r="L71" s="19" t="n">
        <x:f>H71-G71</x:f>
        <x:v>2.8258759999999974</x:v>
      </x:c>
      <x:c r="M71" s="19" t="n">
        <x:f>L71*Settings!$B$7</x:f>
        <x:v>22.60700799999998</x:v>
      </x:c>
      <x:c r="N71" s="2"/>
    </x:row>
    <x:row r="72" ht="23" customHeight="1">
      <x:c r="A72" s="17" t="d">
        <x:v>2026-09-05T00:00:00.000Z</x:v>
      </x:c>
      <x:c r="B72" s="18" t="n">
        <x:v>984</x:v>
      </x:c>
      <x:c r="C72" s="18" t="n">
        <x:v>973</x:v>
      </x:c>
      <x:c r="D72" s="18" t="n">
        <x:v>11</x:v>
      </x:c>
      <x:c r="E72" s="18" t="n">
        <x:v>17280</x:v>
      </x:c>
      <x:c r="F72" s="18" t="n">
        <x:v>17152</x:v>
      </x:c>
      <x:c r="G72" s="19" t="n">
        <x:v>22.953988</x:v>
      </x:c>
      <x:c r="H72" s="19" t="n">
        <x:v>25.349999999999998</x:v>
      </x:c>
      <x:c r="I72" s="19" t="n">
        <x:v>320.5345323741007</x:v>
      </x:c>
      <x:c r="J72" s="20" t="n">
        <x:f>IF(B72=0,"n.a.",C72/B72)</x:f>
        <x:v>0.9888211382113821</x:v>
      </x:c>
      <x:c r="K72" s="20" t="n">
        <x:f>IF(E72=0,"n.a.",F72/E72)</x:f>
        <x:v>0.9925925925925926</x:v>
      </x:c>
      <x:c r="L72" s="19" t="n">
        <x:f>H72-G72</x:f>
        <x:v>2.396011999999999</x:v>
      </x:c>
      <x:c r="M72" s="19" t="n">
        <x:f>L72*Settings!$B$7</x:f>
        <x:v>19.16809599999999</x:v>
      </x:c>
      <x:c r="N72" s="2"/>
    </x:row>
    <x:row r="73" ht="23" customHeight="1">
      <x:c r="A73" s="17" t="d">
        <x:v>2026-09-06T00:00:00.000Z</x:v>
      </x:c>
      <x:c r="B73" s="18" t="n">
        <x:v>1060</x:v>
      </x:c>
      <x:c r="C73" s="18" t="n">
        <x:v>1036</x:v>
      </x:c>
      <x:c r="D73" s="18" t="n">
        <x:v>24</x:v>
      </x:c>
      <x:c r="E73" s="18" t="n">
        <x:v>17280</x:v>
      </x:c>
      <x:c r="F73" s="18" t="n">
        <x:v>17147</x:v>
      </x:c>
      <x:c r="G73" s="19" t="n">
        <x:v>22.411007</x:v>
      </x:c>
      <x:c r="H73" s="19" t="n">
        <x:v>25.349999999999998</x:v>
      </x:c>
      <x:c r="I73" s="19" t="n">
        <x:v>318.72451737451735</x:v>
      </x:c>
      <x:c r="J73" s="20" t="n">
        <x:f>IF(B73=0,"n.a.",C73/B73)</x:f>
        <x:v>0.9773584905660377</x:v>
      </x:c>
      <x:c r="K73" s="20" t="n">
        <x:f>IF(E73=0,"n.a.",F73/E73)</x:f>
        <x:v>0.9923032407407407</x:v>
      </x:c>
      <x:c r="L73" s="19" t="n">
        <x:f>H73-G73</x:f>
        <x:v>2.9389929999999964</x:v>
      </x:c>
      <x:c r="M73" s="19" t="n">
        <x:f>L73*Settings!$B$7</x:f>
        <x:v>23.51194399999997</x:v>
      </x:c>
      <x:c r="N73" s="2"/>
    </x:row>
    <x:row r="74" ht="23" customHeight="1">
      <x:c r="A74" s="17" t="d">
        <x:v>2026-09-07T00:00:00.000Z</x:v>
      </x:c>
      <x:c r="B74" s="18" t="n">
        <x:v>1022</x:v>
      </x:c>
      <x:c r="C74" s="18" t="n">
        <x:v>1012</x:v>
      </x:c>
      <x:c r="D74" s="18" t="n">
        <x:v>10</x:v>
      </x:c>
      <x:c r="E74" s="18" t="n">
        <x:v>17280</x:v>
      </x:c>
      <x:c r="F74" s="18" t="n">
        <x:v>17159</x:v>
      </x:c>
      <x:c r="G74" s="19" t="n">
        <x:v>22.419044</x:v>
      </x:c>
      <x:c r="H74" s="19" t="n">
        <x:v>25.349999999999998</x:v>
      </x:c>
      <x:c r="I74" s="19" t="n">
        <x:v>312.7124505928854</x:v>
      </x:c>
      <x:c r="J74" s="20" t="n">
        <x:f>IF(B74=0,"n.a.",C74/B74)</x:f>
        <x:v>0.9902152641878669</x:v>
      </x:c>
      <x:c r="K74" s="20" t="n">
        <x:f>IF(E74=0,"n.a.",F74/E74)</x:f>
        <x:v>0.9929976851851852</x:v>
      </x:c>
      <x:c r="L74" s="19" t="n">
        <x:f>H74-G74</x:f>
        <x:v>2.9309559999999983</x:v>
      </x:c>
      <x:c r="M74" s="19" t="n">
        <x:f>L74*Settings!$B$7</x:f>
        <x:v>23.447647999999987</x:v>
      </x:c>
      <x:c r="N74" s="2"/>
    </x:row>
    <x:row r="75" ht="23" customHeight="1">
      <x:c r="A75" s="17" t="d">
        <x:v>2026-09-08T00:00:00.000Z</x:v>
      </x:c>
      <x:c r="B75" s="18" t="n">
        <x:v>1022</x:v>
      </x:c>
      <x:c r="C75" s="18" t="n">
        <x:v>998</x:v>
      </x:c>
      <x:c r="D75" s="18" t="n">
        <x:v>24</x:v>
      </x:c>
      <x:c r="E75" s="18" t="n">
        <x:v>17280</x:v>
      </x:c>
      <x:c r="F75" s="18" t="n">
        <x:v>17153</x:v>
      </x:c>
      <x:c r="G75" s="19" t="n">
        <x:v>22.568156</x:v>
      </x:c>
      <x:c r="H75" s="19" t="n">
        <x:v>25.349999999999998</x:v>
      </x:c>
      <x:c r="I75" s="19" t="n">
        <x:v>317.95</x:v>
      </x:c>
      <x:c r="J75" s="20" t="n">
        <x:f>IF(B75=0,"n.a.",C75/B75)</x:f>
        <x:v>0.9765166340508806</x:v>
      </x:c>
      <x:c r="K75" s="20" t="n">
        <x:f>IF(E75=0,"n.a.",F75/E75)</x:f>
        <x:v>0.992650462962963</x:v>
      </x:c>
      <x:c r="L75" s="19" t="n">
        <x:f>H75-G75</x:f>
        <x:v>2.7818439999999995</x:v>
      </x:c>
      <x:c r="M75" s="19" t="n">
        <x:f>L75*Settings!$B$7</x:f>
        <x:v>22.254751999999996</x:v>
      </x:c>
      <x:c r="N75" s="2"/>
    </x:row>
    <x:row r="76" ht="23" customHeight="1">
      <x:c r="A76" s="17" t="d">
        <x:v>2026-09-09T00:00:00.000Z</x:v>
      </x:c>
      <x:c r="B76" s="18" t="n">
        <x:v>970</x:v>
      </x:c>
      <x:c r="C76" s="18" t="n">
        <x:v>952</x:v>
      </x:c>
      <x:c r="D76" s="18" t="n">
        <x:v>18</x:v>
      </x:c>
      <x:c r="E76" s="18" t="n">
        <x:v>17280</x:v>
      </x:c>
      <x:c r="F76" s="18" t="n">
        <x:v>17168</x:v>
      </x:c>
      <x:c r="G76" s="19" t="n">
        <x:v>22.668746</x:v>
      </x:c>
      <x:c r="H76" s="19" t="n">
        <x:v>25.349999999999998</x:v>
      </x:c>
      <x:c r="I76" s="19" t="n">
        <x:v>309.94096638655463</x:v>
      </x:c>
      <x:c r="J76" s="20" t="n">
        <x:f>IF(B76=0,"n.a.",C76/B76)</x:f>
        <x:v>0.9814432989690721</x:v>
      </x:c>
      <x:c r="K76" s="20" t="n">
        <x:f>IF(E76=0,"n.a.",F76/E76)</x:f>
        <x:v>0.9935185185185185</x:v>
      </x:c>
      <x:c r="L76" s="19" t="n">
        <x:f>H76-G76</x:f>
        <x:v>2.681253999999999</x:v>
      </x:c>
      <x:c r="M76" s="19" t="n">
        <x:f>L76*Settings!$B$7</x:f>
        <x:v>21.450031999999993</x:v>
      </x:c>
      <x:c r="N76" s="2"/>
    </x:row>
    <x:row r="77" ht="23" customHeight="1">
      <x:c r="A77" s="17" t="d">
        <x:v>2026-09-10T00:00:00.000Z</x:v>
      </x:c>
      <x:c r="B77" s="18" t="n">
        <x:v>1064</x:v>
      </x:c>
      <x:c r="C77" s="18" t="n">
        <x:v>1046</x:v>
      </x:c>
      <x:c r="D77" s="18" t="n">
        <x:v>18</x:v>
      </x:c>
      <x:c r="E77" s="18" t="n">
        <x:v>17280</x:v>
      </x:c>
      <x:c r="F77" s="18" t="n">
        <x:v>17125</x:v>
      </x:c>
      <x:c r="G77" s="19" t="n">
        <x:v>22.611514</x:v>
      </x:c>
      <x:c r="H77" s="19" t="n">
        <x:v>25.349999999999998</x:v>
      </x:c>
      <x:c r="I77" s="19" t="n">
        <x:v>311.4455066921606</x:v>
      </x:c>
      <x:c r="J77" s="20" t="n">
        <x:f>IF(B77=0,"n.a.",C77/B77)</x:f>
        <x:v>0.9830827067669173</x:v>
      </x:c>
      <x:c r="K77" s="20" t="n">
        <x:f>IF(E77=0,"n.a.",F77/E77)</x:f>
        <x:v>0.9910300925925926</x:v>
      </x:c>
      <x:c r="L77" s="19" t="n">
        <x:f>H77-G77</x:f>
        <x:v>2.738485999999998</x:v>
      </x:c>
      <x:c r="M77" s="19" t="n">
        <x:f>L77*Settings!$B$7</x:f>
        <x:v>21.907887999999986</x:v>
      </x:c>
      <x:c r="N77" s="2"/>
    </x:row>
    <x:row r="78" ht="23" customHeight="1">
      <x:c r="A78" s="17" t="d">
        <x:v>2026-09-11T00:00:00.000Z</x:v>
      </x:c>
      <x:c r="B78" s="18" t="n">
        <x:v>1030</x:v>
      </x:c>
      <x:c r="C78" s="18" t="n">
        <x:v>1015</x:v>
      </x:c>
      <x:c r="D78" s="18" t="n">
        <x:v>15</x:v>
      </x:c>
      <x:c r="E78" s="18" t="n">
        <x:v>17280</x:v>
      </x:c>
      <x:c r="F78" s="18" t="n">
        <x:v>17164</x:v>
      </x:c>
      <x:c r="G78" s="19" t="n">
        <x:v>22.938873</x:v>
      </x:c>
      <x:c r="H78" s="19" t="n">
        <x:v>25.349999999999998</x:v>
      </x:c>
      <x:c r="I78" s="19" t="n">
        <x:v>319.78009852216746</x:v>
      </x:c>
      <x:c r="J78" s="20" t="n">
        <x:f>IF(B78=0,"n.a.",C78/B78)</x:f>
        <x:v>0.9854368932038835</x:v>
      </x:c>
      <x:c r="K78" s="20" t="n">
        <x:f>IF(E78=0,"n.a.",F78/E78)</x:f>
        <x:v>0.993287037037037</x:v>
      </x:c>
      <x:c r="L78" s="19" t="n">
        <x:f>H78-G78</x:f>
        <x:v>2.411126999999997</x:v>
      </x:c>
      <x:c r="M78" s="19" t="n">
        <x:f>L78*Settings!$B$7</x:f>
        <x:v>19.289015999999975</x:v>
      </x:c>
      <x:c r="N78" s="2"/>
    </x:row>
    <x:row r="79" ht="23" customHeight="1">
      <x:c r="A79" s="17" t="d">
        <x:v>2026-09-12T00:00:00.000Z</x:v>
      </x:c>
      <x:c r="B79" s="18" t="n">
        <x:v>1035</x:v>
      </x:c>
      <x:c r="C79" s="18" t="n">
        <x:v>1018</x:v>
      </x:c>
      <x:c r="D79" s="18" t="n">
        <x:v>17</x:v>
      </x:c>
      <x:c r="E79" s="18" t="n">
        <x:v>17280</x:v>
      </x:c>
      <x:c r="F79" s="18" t="n">
        <x:v>17142</x:v>
      </x:c>
      <x:c r="G79" s="19" t="n">
        <x:v>22.937435</x:v>
      </x:c>
      <x:c r="H79" s="19" t="n">
        <x:v>25.349999999999998</x:v>
      </x:c>
      <x:c r="I79" s="19" t="n">
        <x:v>315.35383104125737</x:v>
      </x:c>
      <x:c r="J79" s="20" t="n">
        <x:f>IF(B79=0,"n.a.",C79/B79)</x:f>
        <x:v>0.9835748792270531</x:v>
      </x:c>
      <x:c r="K79" s="20" t="n">
        <x:f>IF(E79=0,"n.a.",F79/E79)</x:f>
        <x:v>0.9920138888888889</x:v>
      </x:c>
      <x:c r="L79" s="19" t="n">
        <x:f>H79-G79</x:f>
        <x:v>2.412564999999997</x:v>
      </x:c>
      <x:c r="M79" s="19" t="n">
        <x:f>L79*Settings!$B$7</x:f>
        <x:v>19.300519999999977</x:v>
      </x:c>
      <x:c r="N79" s="2"/>
    </x:row>
    <x:row r="80" ht="23" customHeight="1">
      <x:c r="A80" s="17" t="d">
        <x:v>2026-09-13T00:00:00.000Z</x:v>
      </x:c>
      <x:c r="B80" s="18" t="n">
        <x:v>1035</x:v>
      </x:c>
      <x:c r="C80" s="18" t="n">
        <x:v>1018</x:v>
      </x:c>
      <x:c r="D80" s="18" t="n">
        <x:v>17</x:v>
      </x:c>
      <x:c r="E80" s="18" t="n">
        <x:v>17280</x:v>
      </x:c>
      <x:c r="F80" s="18" t="n">
        <x:v>17162</x:v>
      </x:c>
      <x:c r="G80" s="19" t="n">
        <x:v>22.316610999999998</x:v>
      </x:c>
      <x:c r="H80" s="19" t="n">
        <x:v>25.349999999999998</x:v>
      </x:c>
      <x:c r="I80" s="19" t="n">
        <x:v>313.10383104125737</x:v>
      </x:c>
      <x:c r="J80" s="20" t="n">
        <x:f>IF(B80=0,"n.a.",C80/B80)</x:f>
        <x:v>0.9835748792270531</x:v>
      </x:c>
      <x:c r="K80" s="20" t="n">
        <x:f>IF(E80=0,"n.a.",F80/E80)</x:f>
        <x:v>0.9931712962962963</x:v>
      </x:c>
      <x:c r="L80" s="19" t="n">
        <x:f>H80-G80</x:f>
        <x:v>3.0333889999999997</x:v>
      </x:c>
      <x:c r="M80" s="19" t="n">
        <x:f>L80*Settings!$B$7</x:f>
        <x:v>24.267111999999997</x:v>
      </x:c>
      <x:c r="N80" s="2"/>
    </x:row>
    <x:row r="81" ht="23" customHeight="1">
      <x:c r="A81" s="17" t="d">
        <x:v>2026-09-14T00:00:00.000Z</x:v>
      </x:c>
      <x:c r="B81" s="18" t="n">
        <x:v>981</x:v>
      </x:c>
      <x:c r="C81" s="18" t="n">
        <x:v>957</x:v>
      </x:c>
      <x:c r="D81" s="18" t="n">
        <x:v>24</x:v>
      </x:c>
      <x:c r="E81" s="18" t="n">
        <x:v>17280</x:v>
      </x:c>
      <x:c r="F81" s="18" t="n">
        <x:v>17150</x:v>
      </x:c>
      <x:c r="G81" s="19" t="n">
        <x:v>22.771548</x:v>
      </x:c>
      <x:c r="H81" s="19" t="n">
        <x:v>25.349999999999998</x:v>
      </x:c>
      <x:c r="I81" s="19" t="n">
        <x:v>309.3381400208986</x:v>
      </x:c>
      <x:c r="J81" s="20" t="n">
        <x:f>IF(B81=0,"n.a.",C81/B81)</x:f>
        <x:v>0.9755351681957186</x:v>
      </x:c>
      <x:c r="K81" s="20" t="n">
        <x:f>IF(E81=0,"n.a.",F81/E81)</x:f>
        <x:v>0.9924768518518519</x:v>
      </x:c>
      <x:c r="L81" s="19" t="n">
        <x:f>H81-G81</x:f>
        <x:v>2.5784519999999986</x:v>
      </x:c>
      <x:c r="M81" s="19" t="n">
        <x:f>L81*Settings!$B$7</x:f>
        <x:v>20.62761599999999</x:v>
      </x:c>
      <x:c r="N81" s="2"/>
    </x:row>
    <x:row r="82" ht="23" customHeight="1">
      <x:c r="A82" s="17" t="d">
        <x:v>2026-09-15T00:00:00.000Z</x:v>
      </x:c>
      <x:c r="B82" s="18" t="n">
        <x:v>1043</x:v>
      </x:c>
      <x:c r="C82" s="18" t="n">
        <x:v>1023</x:v>
      </x:c>
      <x:c r="D82" s="18" t="n">
        <x:v>20</x:v>
      </x:c>
      <x:c r="E82" s="18" t="n">
        <x:v>17280</x:v>
      </x:c>
      <x:c r="F82" s="18" t="n">
        <x:v>17154</x:v>
      </x:c>
      <x:c r="G82" s="19" t="n">
        <x:v>22.573034</x:v>
      </x:c>
      <x:c r="H82" s="19" t="n">
        <x:v>25.349999999999998</x:v>
      </x:c>
      <x:c r="I82" s="19" t="n">
        <x:v>314.37194525904204</x:v>
      </x:c>
      <x:c r="J82" s="20" t="n">
        <x:f>IF(B82=0,"n.a.",C82/B82)</x:f>
        <x:v>0.9808245445829339</x:v>
      </x:c>
      <x:c r="K82" s="20" t="n">
        <x:f>IF(E82=0,"n.a.",F82/E82)</x:f>
        <x:v>0.9927083333333333</x:v>
      </x:c>
      <x:c r="L82" s="19" t="n">
        <x:f>H82-G82</x:f>
        <x:v>2.776965999999998</x:v>
      </x:c>
      <x:c r="M82" s="19" t="n">
        <x:f>L82*Settings!$B$7</x:f>
        <x:v>22.215727999999984</x:v>
      </x:c>
      <x:c r="N82" s="2"/>
    </x:row>
    <x:row r="83" ht="23" customHeight="1">
      <x:c r="A83" s="17" t="d">
        <x:v>2026-09-16T00:00:00.000Z</x:v>
      </x:c>
      <x:c r="B83" s="18" t="n">
        <x:v>1026</x:v>
      </x:c>
      <x:c r="C83" s="18" t="n">
        <x:v>1009</x:v>
      </x:c>
      <x:c r="D83" s="18" t="n">
        <x:v>17</x:v>
      </x:c>
      <x:c r="E83" s="18" t="n">
        <x:v>17280</x:v>
      </x:c>
      <x:c r="F83" s="18" t="n">
        <x:v>17164</x:v>
      </x:c>
      <x:c r="G83" s="19" t="n">
        <x:v>22.722869</x:v>
      </x:c>
      <x:c r="H83" s="19" t="n">
        <x:v>25.349999999999998</x:v>
      </x:c>
      <x:c r="I83" s="19" t="n">
        <x:v>317.78810703667</x:v>
      </x:c>
      <x:c r="J83" s="20" t="n">
        <x:f>IF(B83=0,"n.a.",C83/B83)</x:f>
        <x:v>0.9834307992202729</x:v>
      </x:c>
      <x:c r="K83" s="20" t="n">
        <x:f>IF(E83=0,"n.a.",F83/E83)</x:f>
        <x:v>0.993287037037037</x:v>
      </x:c>
      <x:c r="L83" s="19" t="n">
        <x:f>H83-G83</x:f>
        <x:v>2.6271309999999986</x:v>
      </x:c>
      <x:c r="M83" s="19" t="n">
        <x:f>L83*Settings!$B$7</x:f>
        <x:v>21.01704799999999</x:v>
      </x:c>
      <x:c r="N83" s="2"/>
    </x:row>
    <x:row r="84" ht="23" customHeight="1">
      <x:c r="A84" s="17" t="d">
        <x:v>2026-09-17T00:00:00.000Z</x:v>
      </x:c>
      <x:c r="B84" s="18" t="n">
        <x:v>1031</x:v>
      </x:c>
      <x:c r="C84" s="18" t="n">
        <x:v>1018</x:v>
      </x:c>
      <x:c r="D84" s="18" t="n">
        <x:v>13</x:v>
      </x:c>
      <x:c r="E84" s="18" t="n">
        <x:v>17280</x:v>
      </x:c>
      <x:c r="F84" s="18" t="n">
        <x:v>17159</x:v>
      </x:c>
      <x:c r="G84" s="19" t="n">
        <x:v>22.627027</x:v>
      </x:c>
      <x:c r="H84" s="19" t="n">
        <x:v>25.349999999999998</x:v>
      </x:c>
      <x:c r="I84" s="19" t="n">
        <x:v>317.783300589391</x:v>
      </x:c>
      <x:c r="J84" s="20" t="n">
        <x:f>IF(B84=0,"n.a.",C84/B84)</x:f>
        <x:v>0.9873908826382153</x:v>
      </x:c>
      <x:c r="K84" s="20" t="n">
        <x:f>IF(E84=0,"n.a.",F84/E84)</x:f>
        <x:v>0.9929976851851852</x:v>
      </x:c>
      <x:c r="L84" s="19" t="n">
        <x:f>H84-G84</x:f>
        <x:v>2.7229729999999996</x:v>
      </x:c>
      <x:c r="M84" s="19" t="n">
        <x:f>L84*Settings!$B$7</x:f>
        <x:v>21.783783999999997</x:v>
      </x:c>
      <x:c r="N84" s="2"/>
    </x:row>
    <x:row r="85" ht="23" customHeight="1">
      <x:c r="A85" s="17" t="d">
        <x:v>2026-09-18T00:00:00.000Z</x:v>
      </x:c>
      <x:c r="B85" s="18" t="n">
        <x:v>985</x:v>
      </x:c>
      <x:c r="C85" s="18" t="n">
        <x:v>963</x:v>
      </x:c>
      <x:c r="D85" s="18" t="n">
        <x:v>22</x:v>
      </x:c>
      <x:c r="E85" s="18" t="n">
        <x:v>17280</x:v>
      </x:c>
      <x:c r="F85" s="18" t="n">
        <x:v>17149</x:v>
      </x:c>
      <x:c r="G85" s="19" t="n">
        <x:v>22.341094</x:v>
      </x:c>
      <x:c r="H85" s="19" t="n">
        <x:v>25.349999999999998</x:v>
      </x:c>
      <x:c r="I85" s="19" t="n">
        <x:v>321.1485981308411</x:v>
      </x:c>
      <x:c r="J85" s="20" t="n">
        <x:f>IF(B85=0,"n.a.",C85/B85)</x:f>
        <x:v>0.9776649746192894</x:v>
      </x:c>
      <x:c r="K85" s="20" t="n">
        <x:f>IF(E85=0,"n.a.",F85/E85)</x:f>
        <x:v>0.9924189814814814</x:v>
      </x:c>
      <x:c r="L85" s="19" t="n">
        <x:f>H85-G85</x:f>
        <x:v>3.0089059999999996</x:v>
      </x:c>
      <x:c r="M85" s="19" t="n">
        <x:f>L85*Settings!$B$7</x:f>
        <x:v>24.071247999999997</x:v>
      </x:c>
      <x:c r="N85" s="2"/>
    </x:row>
    <x:row r="86" ht="23" customHeight="1">
      <x:c r="A86" s="17" t="d">
        <x:v>2026-09-19T00:00:00.000Z</x:v>
      </x:c>
      <x:c r="B86" s="18" t="n">
        <x:v>1047</x:v>
      </x:c>
      <x:c r="C86" s="18" t="n">
        <x:v>1023</x:v>
      </x:c>
      <x:c r="D86" s="18" t="n">
        <x:v>24</x:v>
      </x:c>
      <x:c r="E86" s="18" t="n">
        <x:v>17280</x:v>
      </x:c>
      <x:c r="F86" s="18" t="n">
        <x:v>17132</x:v>
      </x:c>
      <x:c r="G86" s="19" t="n">
        <x:v>22.739733</x:v>
      </x:c>
      <x:c r="H86" s="19" t="n">
        <x:v>25.349999999999998</x:v>
      </x:c>
      <x:c r="I86" s="19" t="n">
        <x:v>318.63607038123166</x:v>
      </x:c>
      <x:c r="J86" s="20" t="n">
        <x:f>IF(B86=0,"n.a.",C86/B86)</x:f>
        <x:v>0.9770773638968482</x:v>
      </x:c>
      <x:c r="K86" s="20" t="n">
        <x:f>IF(E86=0,"n.a.",F86/E86)</x:f>
        <x:v>0.9914351851851851</x:v>
      </x:c>
      <x:c r="L86" s="19" t="n">
        <x:f>H86-G86</x:f>
        <x:v>2.610266999999997</x:v>
      </x:c>
      <x:c r="M86" s="19" t="n">
        <x:f>L86*Settings!$B$7</x:f>
        <x:v>20.882135999999974</x:v>
      </x:c>
      <x:c r="N86" s="2"/>
    </x:row>
    <x:row r="87" ht="23" customHeight="1">
      <x:c r="A87" s="17" t="d">
        <x:v>2026-09-20T00:00:00.000Z</x:v>
      </x:c>
      <x:c r="B87" s="18" t="n">
        <x:v>1006</x:v>
      </x:c>
      <x:c r="C87" s="18" t="n">
        <x:v>986</x:v>
      </x:c>
      <x:c r="D87" s="18" t="n">
        <x:v>20</x:v>
      </x:c>
      <x:c r="E87" s="18" t="n">
        <x:v>17280</x:v>
      </x:c>
      <x:c r="F87" s="18" t="n">
        <x:v>17178</x:v>
      </x:c>
      <x:c r="G87" s="19" t="n">
        <x:v>22.568837</x:v>
      </x:c>
      <x:c r="H87" s="19" t="n">
        <x:v>25.349999999999998</x:v>
      </x:c>
      <x:c r="I87" s="19" t="n">
        <x:v>310.5339756592292</x:v>
      </x:c>
      <x:c r="J87" s="20" t="n">
        <x:f>IF(B87=0,"n.a.",C87/B87)</x:f>
        <x:v>0.9801192842942346</x:v>
      </x:c>
      <x:c r="K87" s="20" t="n">
        <x:f>IF(E87=0,"n.a.",F87/E87)</x:f>
        <x:v>0.9940972222222222</x:v>
      </x:c>
      <x:c r="L87" s="19" t="n">
        <x:f>H87-G87</x:f>
        <x:v>2.7811629999999994</x:v>
      </x:c>
      <x:c r="M87" s="19" t="n">
        <x:f>L87*Settings!$B$7</x:f>
        <x:v>22.249303999999995</x:v>
      </x:c>
      <x:c r="N87" s="2"/>
    </x:row>
    <x:row r="88" ht="23" customHeight="1">
      <x:c r="A88" s="17" t="d">
        <x:v>2026-09-21T00:00:00.000Z</x:v>
      </x:c>
      <x:c r="B88" s="18" t="n">
        <x:v>1061</x:v>
      </x:c>
      <x:c r="C88" s="18" t="n">
        <x:v>1047</x:v>
      </x:c>
      <x:c r="D88" s="18" t="n">
        <x:v>14</x:v>
      </x:c>
      <x:c r="E88" s="18" t="n">
        <x:v>17280</x:v>
      </x:c>
      <x:c r="F88" s="18" t="n">
        <x:v>17156</x:v>
      </x:c>
      <x:c r="G88" s="19" t="n">
        <x:v>22.485088</x:v>
      </x:c>
      <x:c r="H88" s="19" t="n">
        <x:v>25.349999999999998</x:v>
      </x:c>
      <x:c r="I88" s="19" t="n">
        <x:v>315.44727793696273</x:v>
      </x:c>
      <x:c r="J88" s="20" t="n">
        <x:f>IF(B88=0,"n.a.",C88/B88)</x:f>
        <x:v>0.9868049010367578</x:v>
      </x:c>
      <x:c r="K88" s="20" t="n">
        <x:f>IF(E88=0,"n.a.",F88/E88)</x:f>
        <x:v>0.992824074074074</x:v>
      </x:c>
      <x:c r="L88" s="19" t="n">
        <x:f>H88-G88</x:f>
        <x:v>2.864911999999997</x:v>
      </x:c>
      <x:c r="M88" s="19" t="n">
        <x:f>L88*Settings!$B$7</x:f>
        <x:v>22.919295999999974</x:v>
      </x:c>
      <x:c r="N88" s="2"/>
    </x:row>
    <x:row r="89" ht="23" customHeight="1">
      <x:c r="A89" s="17" t="d">
        <x:v>2026-09-22T00:00:00.000Z</x:v>
      </x:c>
      <x:c r="B89" s="18" t="n">
        <x:v>996</x:v>
      </x:c>
      <x:c r="C89" s="18" t="n">
        <x:v>979</x:v>
      </x:c>
      <x:c r="D89" s="18" t="n">
        <x:v>17</x:v>
      </x:c>
      <x:c r="E89" s="18" t="n">
        <x:v>17280</x:v>
      </x:c>
      <x:c r="F89" s="18" t="n">
        <x:v>17159</x:v>
      </x:c>
      <x:c r="G89" s="19" t="n">
        <x:v>22.477584</x:v>
      </x:c>
      <x:c r="H89" s="19" t="n">
        <x:v>25.349999999999998</x:v>
      </x:c>
      <x:c r="I89" s="19" t="n">
        <x:v>324.58304392236977</x:v>
      </x:c>
      <x:c r="J89" s="20" t="n">
        <x:f>IF(B89=0,"n.a.",C89/B89)</x:f>
        <x:v>0.9829317269076305</x:v>
      </x:c>
      <x:c r="K89" s="20" t="n">
        <x:f>IF(E89=0,"n.a.",F89/E89)</x:f>
        <x:v>0.9929976851851852</x:v>
      </x:c>
      <x:c r="L89" s="19" t="n">
        <x:f>H89-G89</x:f>
        <x:v>2.8724159999999976</x:v>
      </x:c>
      <x:c r="M89" s="19" t="n">
        <x:f>L89*Settings!$B$7</x:f>
        <x:v>22.97932799999998</x:v>
      </x:c>
      <x:c r="N89" s="2"/>
    </x:row>
    <x:row r="90" ht="23" customHeight="1">
      <x:c r="A90" s="17" t="d">
        <x:v>2026-09-23T00:00:00.000Z</x:v>
      </x:c>
      <x:c r="B90" s="18" t="n">
        <x:v>1023</x:v>
      </x:c>
      <x:c r="C90" s="18" t="n">
        <x:v>1000</x:v>
      </x:c>
      <x:c r="D90" s="18" t="n">
        <x:v>23</x:v>
      </x:c>
      <x:c r="E90" s="18" t="n">
        <x:v>17280</x:v>
      </x:c>
      <x:c r="F90" s="18" t="n">
        <x:v>17142</x:v>
      </x:c>
      <x:c r="G90" s="19" t="n">
        <x:v>22.568649</x:v>
      </x:c>
      <x:c r="H90" s="19" t="n">
        <x:v>25.349999999999998</x:v>
      </x:c>
      <x:c r="I90" s="19" t="n">
        <x:v>317.666</x:v>
      </x:c>
      <x:c r="J90" s="20" t="n">
        <x:f>IF(B90=0,"n.a.",C90/B90)</x:f>
        <x:v>0.9775171065493646</x:v>
      </x:c>
      <x:c r="K90" s="20" t="n">
        <x:f>IF(E90=0,"n.a.",F90/E90)</x:f>
        <x:v>0.9920138888888889</x:v>
      </x:c>
      <x:c r="L90" s="19" t="n">
        <x:f>H90-G90</x:f>
        <x:v>2.7813509999999972</x:v>
      </x:c>
      <x:c r="M90" s="19" t="n">
        <x:f>L90*Settings!$B$7</x:f>
        <x:v>22.250807999999978</x:v>
      </x:c>
      <x:c r="N90" s="2"/>
    </x:row>
    <x:row r="91" ht="23" customHeight="1">
      <x:c r="A91" s="17" t="d">
        <x:v>2026-09-24T00:00:00.000Z</x:v>
      </x:c>
      <x:c r="B91" s="18" t="n">
        <x:v>922</x:v>
      </x:c>
      <x:c r="C91" s="18" t="n">
        <x:v>912</x:v>
      </x:c>
      <x:c r="D91" s="18" t="n">
        <x:v>10</x:v>
      </x:c>
      <x:c r="E91" s="18" t="n">
        <x:v>17280</x:v>
      </x:c>
      <x:c r="F91" s="18" t="n">
        <x:v>17128</x:v>
      </x:c>
      <x:c r="G91" s="19" t="n">
        <x:v>22.452633</x:v>
      </x:c>
      <x:c r="H91" s="19" t="n">
        <x:v>25.349999999999998</x:v>
      </x:c>
      <x:c r="I91" s="19" t="n">
        <x:v>314.1949561403509</x:v>
      </x:c>
      <x:c r="J91" s="20" t="n">
        <x:f>IF(B91=0,"n.a.",C91/B91)</x:f>
        <x:v>0.9891540130151844</x:v>
      </x:c>
      <x:c r="K91" s="20" t="n">
        <x:f>IF(E91=0,"n.a.",F91/E91)</x:f>
        <x:v>0.9912037037037037</x:v>
      </x:c>
      <x:c r="L91" s="19" t="n">
        <x:f>H91-G91</x:f>
        <x:v>2.897366999999999</x:v>
      </x:c>
      <x:c r="M91" s="19" t="n">
        <x:f>L91*Settings!$B$7</x:f>
        <x:v>23.178935999999993</x:v>
      </x:c>
      <x:c r="N91" s="2"/>
    </x:row>
    <x:row r="92" ht="23" customHeight="1">
      <x:c r="A92" s="17" t="d">
        <x:v>2026-09-25T00:00:00.000Z</x:v>
      </x:c>
      <x:c r="B92" s="18" t="n">
        <x:v>1093</x:v>
      </x:c>
      <x:c r="C92" s="18" t="n">
        <x:v>1070</x:v>
      </x:c>
      <x:c r="D92" s="18" t="n">
        <x:v>23</x:v>
      </x:c>
      <x:c r="E92" s="18" t="n">
        <x:v>17280</x:v>
      </x:c>
      <x:c r="F92" s="18" t="n">
        <x:v>17162</x:v>
      </x:c>
      <x:c r="G92" s="19" t="n">
        <x:v>22.958006</x:v>
      </x:c>
      <x:c r="H92" s="19" t="n">
        <x:v>25.349999999999998</x:v>
      </x:c>
      <x:c r="I92" s="19" t="n">
        <x:v>312.4842056074766</x:v>
      </x:c>
      <x:c r="J92" s="20" t="n">
        <x:f>IF(B92=0,"n.a.",C92/B92)</x:f>
        <x:v>0.9789569990850869</x:v>
      </x:c>
      <x:c r="K92" s="20" t="n">
        <x:f>IF(E92=0,"n.a.",F92/E92)</x:f>
        <x:v>0.9931712962962963</x:v>
      </x:c>
      <x:c r="L92" s="19" t="n">
        <x:f>H92-G92</x:f>
        <x:v>2.391993999999997</x:v>
      </x:c>
      <x:c r="M92" s="19" t="n">
        <x:f>L92*Settings!$B$7</x:f>
        <x:v>19.135951999999975</x:v>
      </x:c>
      <x:c r="N92" s="2"/>
    </x:row>
    <x:row r="93" ht="23" customHeight="1">
      <x:c r="A93" s="17" t="d">
        <x:v>2026-09-26T00:00:00.000Z</x:v>
      </x:c>
      <x:c r="B93" s="18" t="n">
        <x:v>1028</x:v>
      </x:c>
      <x:c r="C93" s="18" t="n">
        <x:v>1014</x:v>
      </x:c>
      <x:c r="D93" s="18" t="n">
        <x:v>14</x:v>
      </x:c>
      <x:c r="E93" s="18" t="n">
        <x:v>17280</x:v>
      </x:c>
      <x:c r="F93" s="18" t="n">
        <x:v>17173</x:v>
      </x:c>
      <x:c r="G93" s="19" t="n">
        <x:v>22.467996</x:v>
      </x:c>
      <x:c r="H93" s="19" t="n">
        <x:v>25.349999999999998</x:v>
      </x:c>
      <x:c r="I93" s="19" t="n">
        <x:v>316.83195266272185</x:v>
      </x:c>
      <x:c r="J93" s="20" t="n">
        <x:f>IF(B93=0,"n.a.",C93/B93)</x:f>
        <x:v>0.9863813229571985</x:v>
      </x:c>
      <x:c r="K93" s="20" t="n">
        <x:f>IF(E93=0,"n.a.",F93/E93)</x:f>
        <x:v>0.9938078703703703</x:v>
      </x:c>
      <x:c r="L93" s="19" t="n">
        <x:f>H93-G93</x:f>
        <x:v>2.8820039999999985</x:v>
      </x:c>
      <x:c r="M93" s="19" t="n">
        <x:f>L93*Settings!$B$7</x:f>
        <x:v>23.056031999999988</x:v>
      </x:c>
      <x:c r="N93" s="2"/>
    </x:row>
    <x:row r="94" ht="23" customHeight="1">
      <x:c r="A94" s="17" t="d">
        <x:v>2026-09-27T00:00:00.000Z</x:v>
      </x:c>
      <x:c r="B94" s="18" t="n">
        <x:v>976</x:v>
      </x:c>
      <x:c r="C94" s="18" t="n">
        <x:v>958</x:v>
      </x:c>
      <x:c r="D94" s="18" t="n">
        <x:v>18</x:v>
      </x:c>
      <x:c r="E94" s="18" t="n">
        <x:v>17280</x:v>
      </x:c>
      <x:c r="F94" s="18" t="n">
        <x:v>17150</x:v>
      </x:c>
      <x:c r="G94" s="19" t="n">
        <x:v>22.477107</x:v>
      </x:c>
      <x:c r="H94" s="19" t="n">
        <x:v>25.349999999999998</x:v>
      </x:c>
      <x:c r="I94" s="19" t="n">
        <x:v>317.794885177453</x:v>
      </x:c>
      <x:c r="J94" s="20" t="n">
        <x:f>IF(B94=0,"n.a.",C94/B94)</x:f>
        <x:v>0.9815573770491803</x:v>
      </x:c>
      <x:c r="K94" s="20" t="n">
        <x:f>IF(E94=0,"n.a.",F94/E94)</x:f>
        <x:v>0.9924768518518519</x:v>
      </x:c>
      <x:c r="L94" s="19" t="n">
        <x:f>H94-G94</x:f>
        <x:v>2.8728929999999977</x:v>
      </x:c>
      <x:c r="M94" s="19" t="n">
        <x:f>L94*Settings!$B$7</x:f>
        <x:v>22.98314399999998</x:v>
      </x:c>
      <x:c r="N94" s="2"/>
    </x:row>
    <x:row r="95" ht="23" customHeight="1">
      <x:c r="A95" s="17" t="d">
        <x:v>2026-09-28T00:00:00.000Z</x:v>
      </x:c>
      <x:c r="B95" s="18" t="n">
        <x:v>992</x:v>
      </x:c>
      <x:c r="C95" s="18" t="n">
        <x:v>973</x:v>
      </x:c>
      <x:c r="D95" s="18" t="n">
        <x:v>19</x:v>
      </x:c>
      <x:c r="E95" s="18" t="n">
        <x:v>17280</x:v>
      </x:c>
      <x:c r="F95" s="18" t="n">
        <x:v>17162</x:v>
      </x:c>
      <x:c r="G95" s="19" t="n">
        <x:v>22.443524</x:v>
      </x:c>
      <x:c r="H95" s="19" t="n">
        <x:v>25.349999999999998</x:v>
      </x:c>
      <x:c r="I95" s="19" t="n">
        <x:v>315.35149023638235</x:v>
      </x:c>
      <x:c r="J95" s="20" t="n">
        <x:f>IF(B95=0,"n.a.",C95/B95)</x:f>
        <x:v>0.9808467741935484</x:v>
      </x:c>
      <x:c r="K95" s="20" t="n">
        <x:f>IF(E95=0,"n.a.",F95/E95)</x:f>
        <x:v>0.9931712962962963</x:v>
      </x:c>
      <x:c r="L95" s="19" t="n">
        <x:f>H95-G95</x:f>
        <x:v>2.906475999999998</x:v>
      </x:c>
      <x:c r="M95" s="19" t="n">
        <x:f>L95*Settings!$B$7</x:f>
        <x:v>23.251807999999983</x:v>
      </x:c>
      <x:c r="N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</x:sheetData>
  <x:conditionalFormatting sqref="J6:J95">
    <x:cfRule type="cellIs" dxfId="0" priority="1" operator="lessThan">
      <x:formula>0.98</x:formula>
    </x:cfRule>
  </x:conditionalFormatting>
  <x:conditionalFormatting sqref="K6:K95">
    <x:cfRule type="cellIs" dxfId="1" priority="2" operator="lessThan">
      <x:formula>0.99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375fc0c3804042"/>
  </x:tableParts>
</x:worksheet>
</file>

<file path=xl/worksheets/sheet3.xml><?xml version="1.0" encoding="utf-8"?>
<x:worksheet xmlns:x="http://schemas.openxmlformats.org/spreadsheetml/2006/main">
  <x:sheetPr>
    <x:tabColor rgb="FF7296BE"/>
  </x:sheetPr>
  <x:sheetViews>
    <x:sheetView showGridLines="0" workbookViewId="0"/>
  </x:sheetViews>
  <x:sheetFormatPr defaultRowHeight="15"/>
  <x:cols>
    <x:col min="1" max="1" width="29" hidden="0" customWidth="1"/>
    <x:col min="2" max="2" width="6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3" customHeight="1">
      <x:c r="A2" s="3" t="str">
        <x:v>Reporting settings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 t="str">
        <x:v>Repository folder</x:v>
      </x:c>
      <x:c r="B4" s="21" t="str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3" customHeight="1">
      <x:c r="A5" s="2" t="str">
        <x:v>Python executable</x:v>
      </x:c>
      <x:c r="B5" s="21" t="str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3" customHeight="1">
      <x:c r="A6" s="2" t="str">
        <x:v>Import contract</x:v>
      </x:c>
      <x:c r="B6" s="2" t="str">
        <x:v>Packaged 90-day dataset</x:v>
      </x:c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3" customHeight="1">
      <x:c r="A7" s="2" t="str">
        <x:v>Tariff INR / kWh</x:v>
      </x:c>
      <x:c r="B7" s="22" t="n">
        <x:v>8</x:v>
      </x:c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3" customHeight="1">
      <x:c r="A8" s="2" t="str">
        <x:v>P95 ack ms</x:v>
      </x:c>
      <x:c r="B8" s="23" t="n">
        <x:v>614.4</x:v>
      </x:c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</x:row>
    <x:row r="9" ht="23" customHeight="1">
      <x:c r="A9" s="2" t="str">
        <x:v>Devices</x:v>
      </x:c>
      <x:c r="B9" s="2" t="n">
        <x:v>60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23" customHeight="1">
      <x:c r="A10" s="2" t="str">
        <x:v>Homes</x:v>
      </x:c>
      <x:c r="B10" s="2" t="n">
        <x:v>10</x:v>
      </x:c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</x:row>
    <x:row r="11" ht="23" customHeight="1">
      <x:c r="A11" s="2" t="str">
        <x:v>Data period</x:v>
      </x:c>
      <x:c r="B11" s="2" t="str">
        <x:v>2026-07-01 to 2026-09-28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3" customHeight="1">
      <x:c r="A12" s="2" t="str">
        <x:v>Last VBA refresh</x:v>
      </x:c>
      <x:c r="B12" s="2" t="str">
        <x:v>Not refreshed in Excel</x:v>
      </x:c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3" customHeight="1">
      <x:c r="A15" s="24" t="str">
        <x:v>VBA setup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3" customHeight="1">
      <x:c r="A16" s="2" t="str">
        <x:v>1. Import excel/SmartSwitchAutomation.bas in the VBA editor.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3" customHeight="1">
      <x:c r="A17" s="2" t="str">
        <x:v>2. Save this workbook as Excel Macro-Enabled Workbook (.xlsm).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3" customHeight="1">
      <x:c r="A18" s="2" t="str">
        <x:v>3. Enter the repository folder above. On Windows also set python.exe.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3" customHeight="1">
      <x:c r="A19" s="2" t="str">
        <x:v>4. Run RefreshDailyReport after Python finishes.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3" customHeight="1">
      <x:c r="A20" s="2" t="str">
        <x:v>5. Run ExportDashboardPDF to create a one-page report.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3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3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3" customHeight="1">
      <x:c r="A23" s="2" t="str">
        <x:v>P95 is imported from the Python command-level calculation.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3" customHeight="1">
      <x:c r="A24" s="2" t="str">
        <x:v>Daily rows contain counts and energy totals exported from SQL.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3" customHeight="1">
      <x:c r="A25" s="2" t="str">
        <x:v>Workbook rates and energy differences recalculate from those totals.</x:v>
      </x:c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 ht="23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 ht="23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 ht="23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 ht="23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 ht="23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 ht="23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 ht="23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 ht="23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 ht="23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 ht="23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 ht="23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 ht="23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 ht="23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 ht="23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 ht="23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 ht="23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 ht="23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 ht="23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 ht="23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 ht="23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 ht="23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 ht="23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 ht="23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 ht="23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 ht="23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 ht="23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 ht="23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 ht="23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 ht="23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 ht="23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 ht="23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 ht="23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 ht="23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 ht="23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 ht="23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 ht="23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 ht="23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 ht="23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 ht="23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 ht="23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 ht="23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 ht="23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 ht="23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 ht="23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 ht="23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 ht="23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 ht="23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3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 ht="23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 ht="23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 ht="23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 ht="23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 ht="23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 ht="23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 ht="23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</x:sheetData>
  <x:pageMargins left="0.7" right="0.7" top="0.75" bottom="0.75" header="0.3" footer="0.3"/>
</x:worksheet>
</file>